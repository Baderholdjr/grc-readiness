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rol matrix" sheetId="2" state="visible" r:id="rId2"/>
    <sheet xmlns:r="http://schemas.openxmlformats.org/officeDocument/2006/relationships" name="SoA" sheetId="3" state="visible" r:id="rId3"/>
    <sheet xmlns:r="http://schemas.openxmlformats.org/officeDocument/2006/relationships" name="Gaps" sheetId="4" state="visible" r:id="rId4"/>
    <sheet xmlns:r="http://schemas.openxmlformats.org/officeDocument/2006/relationships" name="Evidence" sheetId="5" state="visible" r:id="rId5"/>
    <sheet xmlns:r="http://schemas.openxmlformats.org/officeDocument/2006/relationships" name="Findings" sheetId="6" state="visible" r:id="rId6"/>
    <sheet xmlns:r="http://schemas.openxmlformats.org/officeDocument/2006/relationships" name="Impact assessments" sheetId="7" state="visible" r:id="rId7"/>
    <sheet xmlns:r="http://schemas.openxmlformats.org/officeDocument/2006/relationships" name="Documents" sheetId="8" state="visible" r:id="rId8"/>
    <sheet xmlns:r="http://schemas.openxmlformats.org/officeDocument/2006/relationships" name="Review actions" sheetId="9" state="visible" r:id="rId9"/>
  </sheets>
  <definedNames>
    <definedName name="_xlnm._FilterDatabase" localSheetId="1" hidden="1">'Control matrix'!$A$3:$L$68</definedName>
    <definedName name="_xlnm.Print_Titles" localSheetId="1">'Control matrix'!$3:$3</definedName>
    <definedName name="_xlnm._FilterDatabase" localSheetId="2" hidden="1">'SoA'!$A$3:$G$41</definedName>
    <definedName name="_xlnm.Print_Titles" localSheetId="2">'SoA'!$3:$3</definedName>
    <definedName name="_xlnm._FilterDatabase" localSheetId="3" hidden="1">'Gaps'!$A$3:$J$16</definedName>
    <definedName name="_xlnm.Print_Titles" localSheetId="3">'Gaps'!$3:$3</definedName>
    <definedName name="_xlnm._FilterDatabase" localSheetId="4" hidden="1">'Evidence'!$A$3:$I$28</definedName>
    <definedName name="_xlnm.Print_Titles" localSheetId="4">'Evidence'!$3:$3</definedName>
    <definedName name="_xlnm.Print_Titles" localSheetId="5">'Findings'!$3:$3</definedName>
    <definedName name="_xlnm.Print_Titles" localSheetId="6">'Impact assessments'!$3:$3</definedName>
    <definedName name="_xlnm._FilterDatabase" localSheetId="7" hidden="1">'Documents'!$A$3:$K$20</definedName>
    <definedName name="_xlnm.Print_Titles" localSheetId="7">'Documents'!$3:$3</definedName>
    <definedName name="_xlnm.Print_Titles" localSheetId="8">'Review actions'!$3:$3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8">
    <font>
      <name val="Calibri"/>
      <family val="2"/>
      <color theme="1"/>
      <sz val="11"/>
      <scheme val="minor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83B4E"/>
      <sz val="14"/>
    </font>
    <font>
      <name val="Arial"/>
      <b val="1"/>
      <color rgb="000000FF"/>
      <sz val="10"/>
    </font>
    <font>
      <name val="Arial"/>
      <color rgb="00666666"/>
      <sz val="9"/>
    </font>
    <font>
      <name val="Arial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83B4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DDEBF7"/>
          <bgColor rgb="00DDEBF7"/>
        </patternFill>
      </fill>
    </dxf>
    <dxf>
      <fill>
        <patternFill patternType="solid">
          <fgColor rgb="00EDEDED"/>
          <bgColor rgb="00EDEDED"/>
        </patternFill>
      </fill>
    </dxf>
    <dxf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60" customWidth="1" min="3" max="3"/>
  </cols>
  <sheetData>
    <row r="1">
      <c r="A1" s="1" t="inlineStr">
        <is>
          <t>(Example Client) — ISO 42001 readiness workbook</t>
        </is>
      </c>
    </row>
    <row r="2">
      <c r="A2" s="2" t="inlineStr">
        <is>
          <t>(Example Client) · ISO 42001 · generated from the GRC record as of 2026-10-24. Read-only export: change the record through pull requests, not here.</t>
        </is>
      </c>
    </row>
    <row r="4">
      <c r="A4" s="3" t="inlineStr">
        <is>
          <t>As of</t>
        </is>
      </c>
      <c r="B4" s="4" t="n">
        <v>46319</v>
      </c>
      <c r="C4" s="5" t="inlineStr">
        <is>
          <t>The date the record was evaluated; overdue figures count from here.</t>
        </is>
      </c>
    </row>
    <row r="5">
      <c r="A5" s="3" t="inlineStr">
        <is>
          <t>Applicable requirements</t>
        </is>
      </c>
      <c r="B5" s="6">
        <f>COUNTIFS('Control matrix'!D:D,"Yes")</f>
        <v/>
      </c>
      <c r="C5" s="5" t="n"/>
    </row>
    <row r="6">
      <c r="A6" s="3" t="inlineStr">
        <is>
          <t>Requirements ready</t>
        </is>
      </c>
      <c r="B6" s="6">
        <f>COUNTIFS('Control matrix'!J:J,"Ready")</f>
        <v/>
      </c>
      <c r="C6" s="5" t="inlineStr">
        <is>
          <t>Every leg verified on current evidence.</t>
        </is>
      </c>
    </row>
    <row r="7">
      <c r="A7" s="3" t="inlineStr">
        <is>
          <t>Share ready</t>
        </is>
      </c>
      <c r="B7" s="7">
        <f>IF(B5=0,0,B6/B5)</f>
        <v/>
      </c>
      <c r="C7" s="5" t="n"/>
    </row>
    <row r="8">
      <c r="A8" s="3" t="inlineStr">
        <is>
          <t>Evidence-test legs verified</t>
        </is>
      </c>
      <c r="B8" s="6">
        <f>COUNTIFS('Control matrix'!F:F,"verified")+COUNTIFS('Control matrix'!G:G,"verified")+COUNTIFS('Control matrix'!H:H,"verified")+COUNTIFS('Control matrix'!I:I,"verified")</f>
        <v/>
      </c>
      <c r="C8" s="5" t="inlineStr">
        <is>
          <t>Out of 4 per applicable requirement.</t>
        </is>
      </c>
    </row>
    <row r="9">
      <c r="A9" s="3" t="inlineStr">
        <is>
          <t>Share of legs verified</t>
        </is>
      </c>
      <c r="B9" s="7">
        <f>IF(B5=0,0,B8/(B5*4))</f>
        <v/>
      </c>
      <c r="C9" s="5" t="n"/>
    </row>
    <row r="10">
      <c r="A10" s="3" t="inlineStr">
        <is>
          <t>Open gaps</t>
        </is>
      </c>
      <c r="B10" s="6">
        <f>COUNTIFS(Gaps!I:I,"open")+COUNTIFS(Gaps!I:I,"in_progress")</f>
        <v/>
      </c>
      <c r="C10" s="5" t="inlineStr">
        <is>
          <t>Open or in progress.</t>
        </is>
      </c>
    </row>
    <row r="11">
      <c r="A11" s="3" t="inlineStr">
        <is>
          <t>Overdue gaps</t>
        </is>
      </c>
      <c r="B11" s="6">
        <f>COUNTIFS(Gaps!J:J,"&gt;0")</f>
        <v/>
      </c>
      <c r="C11" s="5" t="inlineStr">
        <is>
          <t>Open or in progress and past their due date.</t>
        </is>
      </c>
    </row>
    <row r="12">
      <c r="A12" s="3" t="inlineStr">
        <is>
          <t>Open nonconformities (major)</t>
        </is>
      </c>
      <c r="B12" s="6">
        <f>COUNTIFS(Findings!B:B,"major",Findings!E:E,"&lt;&gt;closed",Findings!E:E,"&lt;&gt;accepted")</f>
        <v/>
      </c>
      <c r="C12" s="5" t="n"/>
    </row>
    <row r="13">
      <c r="A13" s="3" t="inlineStr">
        <is>
          <t>Open nonconformities (minor)</t>
        </is>
      </c>
      <c r="B13" s="6">
        <f>COUNTIFS(Findings!B:B,"minor",Findings!E:E,"&lt;&gt;closed",Findings!E:E,"&lt;&gt;accepted")</f>
        <v/>
      </c>
      <c r="C13" s="5" t="n"/>
    </row>
    <row r="14">
      <c r="A14" s="3" t="inlineStr">
        <is>
          <t>Evidence failing or expired</t>
        </is>
      </c>
      <c r="B14" s="6">
        <f>COUNTIFS(Evidence!G:G,"FAILING")+COUNTIFS(Evidence!G:G,"EXPIRED")</f>
        <v/>
      </c>
      <c r="C14" s="5" t="n"/>
    </row>
    <row r="15">
      <c r="A15" s="3" t="inlineStr">
        <is>
          <t>AI systems with a current, approved impact assessment</t>
        </is>
      </c>
      <c r="B15" s="6">
        <f>COUNTIFS('Impact assessments'!J:J,"Yes")</f>
        <v/>
      </c>
      <c r="C15" s="5" t="inlineStr">
        <is>
          <t>Out of 0 AI systems in scope.</t>
        </is>
      </c>
    </row>
    <row r="16">
      <c r="A16" s="3" t="inlineStr">
        <is>
          <t>Policies and procedures current and approved</t>
        </is>
      </c>
      <c r="B16" s="6">
        <f>COUNTIFS(Documents!J:J,"Yes")</f>
        <v/>
      </c>
      <c r="C16" s="5" t="inlineStr">
        <is>
          <t>Out of 17 in the library.</t>
        </is>
      </c>
    </row>
    <row r="17">
      <c r="A17" s="3" t="inlineStr">
        <is>
          <t>Management review actions open</t>
        </is>
      </c>
      <c r="B17" s="6">
        <f>COUNTIFS('Review actions'!F:F,"open")</f>
        <v/>
      </c>
      <c r="C17" s="5" t="n"/>
    </row>
  </sheetData>
  <conditionalFormatting sqref="B11">
    <cfRule type="expression" priority="1" dxfId="0">
      <formula>B11&gt;0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8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9" customWidth="1" min="3" max="3"/>
    <col width="11" customWidth="1" min="4" max="4"/>
    <col width="24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4" customWidth="1" min="11" max="11"/>
    <col width="30" customWidth="1" min="12" max="12"/>
  </cols>
  <sheetData>
    <row r="1">
      <c r="A1" s="2" t="inlineStr">
        <is>
          <t>(Example Client) · ISO 42001 · generated from the GRC record as of 2026-10-24. Read-only export: change the record through pull requests, not here.</t>
        </is>
      </c>
    </row>
    <row r="3">
      <c r="A3" s="8" t="inlineStr">
        <is>
          <t>ID</t>
        </is>
      </c>
      <c r="B3" s="8" t="inlineStr">
        <is>
          <t>Requirement</t>
        </is>
      </c>
      <c r="C3" s="8" t="inlineStr">
        <is>
          <t>Type</t>
        </is>
      </c>
      <c r="D3" s="8" t="inlineStr">
        <is>
          <t>Applicable</t>
        </is>
      </c>
      <c r="E3" s="8" t="inlineStr">
        <is>
          <t>Owner</t>
        </is>
      </c>
      <c r="F3" s="8" t="inlineStr">
        <is>
          <t>Documented</t>
        </is>
      </c>
      <c r="G3" s="8" t="inlineStr">
        <is>
          <t>Implemented</t>
        </is>
      </c>
      <c r="H3" s="8" t="inlineStr">
        <is>
          <t>Evidenced</t>
        </is>
      </c>
      <c r="I3" s="8" t="inlineStr">
        <is>
          <t>Tested</t>
        </is>
      </c>
      <c r="J3" s="8" t="inlineStr">
        <is>
          <t>State</t>
        </is>
      </c>
      <c r="K3" s="8" t="inlineStr">
        <is>
          <t>Gaps</t>
        </is>
      </c>
      <c r="L3" s="8" t="inlineStr">
        <is>
          <t>Evidence</t>
        </is>
      </c>
    </row>
    <row r="4">
      <c r="A4" s="9" t="inlineStr">
        <is>
          <t>4.1</t>
        </is>
      </c>
      <c r="B4" s="9" t="inlineStr">
        <is>
          <t>Understanding the organization and its context</t>
        </is>
      </c>
      <c r="C4" s="9" t="inlineStr">
        <is>
          <t>Clause</t>
        </is>
      </c>
      <c r="D4" s="9" t="inlineStr">
        <is>
          <t>Yes</t>
        </is>
      </c>
      <c r="E4" s="9" t="inlineStr">
        <is>
          <t>Legal</t>
        </is>
      </c>
      <c r="F4" s="9" t="inlineStr">
        <is>
          <t>partial</t>
        </is>
      </c>
      <c r="G4" s="9" t="inlineStr">
        <is>
          <t>claimed</t>
        </is>
      </c>
      <c r="H4" s="9" t="inlineStr">
        <is>
          <t>not_started</t>
        </is>
      </c>
      <c r="I4" s="9" t="inlineStr">
        <is>
          <t>not_started</t>
        </is>
      </c>
      <c r="J4" s="9" t="inlineStr">
        <is>
          <t>In progress</t>
        </is>
      </c>
      <c r="K4" s="9" t="inlineStr">
        <is>
          <t>GAP-07</t>
        </is>
      </c>
      <c r="L4" s="9" t="inlineStr">
        <is>
          <t>EV-001</t>
        </is>
      </c>
    </row>
    <row r="5">
      <c r="A5" s="9" t="inlineStr">
        <is>
          <t>4.2</t>
        </is>
      </c>
      <c r="B5" s="9" t="inlineStr">
        <is>
          <t>Understanding the needs and expectations of interested parties</t>
        </is>
      </c>
      <c r="C5" s="9" t="inlineStr">
        <is>
          <t>Clause</t>
        </is>
      </c>
      <c r="D5" s="9" t="inlineStr">
        <is>
          <t>Yes</t>
        </is>
      </c>
      <c r="E5" s="9" t="inlineStr">
        <is>
          <t>Legal</t>
        </is>
      </c>
      <c r="F5" s="9" t="inlineStr">
        <is>
          <t>claimed</t>
        </is>
      </c>
      <c r="G5" s="9" t="inlineStr">
        <is>
          <t>not_started</t>
        </is>
      </c>
      <c r="H5" s="9" t="inlineStr">
        <is>
          <t>not_started</t>
        </is>
      </c>
      <c r="I5" s="9" t="inlineStr">
        <is>
          <t>not_started</t>
        </is>
      </c>
      <c r="J5" s="9" t="inlineStr">
        <is>
          <t>Unverified claim</t>
        </is>
      </c>
      <c r="K5" s="9" t="inlineStr">
        <is>
          <t>GAP-07</t>
        </is>
      </c>
      <c r="L5" s="9" t="n"/>
    </row>
    <row r="6">
      <c r="A6" s="9" t="inlineStr">
        <is>
          <t>4.3</t>
        </is>
      </c>
      <c r="B6" s="9" t="inlineStr">
        <is>
          <t>Determining the scope of the AI management system</t>
        </is>
      </c>
      <c r="C6" s="9" t="inlineStr">
        <is>
          <t>Clause</t>
        </is>
      </c>
      <c r="D6" s="9" t="inlineStr">
        <is>
          <t>Yes</t>
        </is>
      </c>
      <c r="E6" s="9" t="inlineStr">
        <is>
          <t>VP Engineering</t>
        </is>
      </c>
      <c r="F6" s="9" t="inlineStr">
        <is>
          <t>partial</t>
        </is>
      </c>
      <c r="G6" s="9" t="inlineStr">
        <is>
          <t>not_started</t>
        </is>
      </c>
      <c r="H6" s="9" t="inlineStr">
        <is>
          <t>not_started</t>
        </is>
      </c>
      <c r="I6" s="9" t="inlineStr">
        <is>
          <t>not_started</t>
        </is>
      </c>
      <c r="J6" s="9" t="inlineStr">
        <is>
          <t>In progress</t>
        </is>
      </c>
      <c r="K6" s="9" t="inlineStr">
        <is>
          <t>GAP-01</t>
        </is>
      </c>
      <c r="L6" s="9" t="inlineStr">
        <is>
          <t>EV-001</t>
        </is>
      </c>
    </row>
    <row r="7">
      <c r="A7" s="9" t="inlineStr">
        <is>
          <t>4.4</t>
        </is>
      </c>
      <c r="B7" s="9" t="inlineStr">
        <is>
          <t>AI management system</t>
        </is>
      </c>
      <c r="C7" s="9" t="inlineStr">
        <is>
          <t>Clause</t>
        </is>
      </c>
      <c r="D7" s="9" t="inlineStr">
        <is>
          <t>Yes</t>
        </is>
      </c>
      <c r="E7" s="9" t="inlineStr">
        <is>
          <t>VP Engineering</t>
        </is>
      </c>
      <c r="F7" s="9" t="inlineStr">
        <is>
          <t>not_started</t>
        </is>
      </c>
      <c r="G7" s="9" t="inlineStr">
        <is>
          <t>not_started</t>
        </is>
      </c>
      <c r="H7" s="9" t="inlineStr">
        <is>
          <t>not_started</t>
        </is>
      </c>
      <c r="I7" s="9" t="inlineStr">
        <is>
          <t>not_started</t>
        </is>
      </c>
      <c r="J7" s="9" t="inlineStr">
        <is>
          <t>Not started</t>
        </is>
      </c>
      <c r="K7" s="9" t="n"/>
      <c r="L7" s="9" t="n"/>
    </row>
    <row r="8">
      <c r="A8" s="9" t="inlineStr">
        <is>
          <t>5.1</t>
        </is>
      </c>
      <c r="B8" s="9" t="inlineStr">
        <is>
          <t>Leadership and commitment</t>
        </is>
      </c>
      <c r="C8" s="9" t="inlineStr">
        <is>
          <t>Clause</t>
        </is>
      </c>
      <c r="D8" s="9" t="inlineStr">
        <is>
          <t>Yes</t>
        </is>
      </c>
      <c r="E8" s="9" t="inlineStr">
        <is>
          <t>VP Engineering</t>
        </is>
      </c>
      <c r="F8" s="9" t="inlineStr">
        <is>
          <t>claimed</t>
        </is>
      </c>
      <c r="G8" s="9" t="inlineStr">
        <is>
          <t>partial</t>
        </is>
      </c>
      <c r="H8" s="9" t="inlineStr">
        <is>
          <t>not_started</t>
        </is>
      </c>
      <c r="I8" s="9" t="inlineStr">
        <is>
          <t>not_started</t>
        </is>
      </c>
      <c r="J8" s="9" t="inlineStr">
        <is>
          <t>In progress</t>
        </is>
      </c>
      <c r="K8" s="9" t="inlineStr">
        <is>
          <t>GAP-09</t>
        </is>
      </c>
      <c r="L8" s="9" t="inlineStr">
        <is>
          <t>EV-016</t>
        </is>
      </c>
    </row>
    <row r="9">
      <c r="A9" s="9" t="inlineStr">
        <is>
          <t>5.2</t>
        </is>
      </c>
      <c r="B9" s="9" t="inlineStr">
        <is>
          <t>AI policy</t>
        </is>
      </c>
      <c r="C9" s="9" t="inlineStr">
        <is>
          <t>Clause</t>
        </is>
      </c>
      <c r="D9" s="9" t="inlineStr">
        <is>
          <t>Yes</t>
        </is>
      </c>
      <c r="E9" s="9" t="inlineStr">
        <is>
          <t>VP Engineering</t>
        </is>
      </c>
      <c r="F9" s="9" t="inlineStr">
        <is>
          <t>not_started</t>
        </is>
      </c>
      <c r="G9" s="9" t="inlineStr">
        <is>
          <t>not_started</t>
        </is>
      </c>
      <c r="H9" s="9" t="inlineStr">
        <is>
          <t>not_started</t>
        </is>
      </c>
      <c r="I9" s="9" t="inlineStr">
        <is>
          <t>not_started</t>
        </is>
      </c>
      <c r="J9" s="9" t="inlineStr">
        <is>
          <t>Not started</t>
        </is>
      </c>
      <c r="K9" s="9" t="inlineStr">
        <is>
          <t>GAP-01</t>
        </is>
      </c>
      <c r="L9" s="9" t="n"/>
    </row>
    <row r="10">
      <c r="A10" s="9" t="inlineStr">
        <is>
          <t>5.3</t>
        </is>
      </c>
      <c r="B10" s="9" t="inlineStr">
        <is>
          <t>Roles, responsibilities and authorities</t>
        </is>
      </c>
      <c r="C10" s="9" t="inlineStr">
        <is>
          <t>Clause</t>
        </is>
      </c>
      <c r="D10" s="9" t="inlineStr">
        <is>
          <t>Yes</t>
        </is>
      </c>
      <c r="E10" s="9" t="inlineStr">
        <is>
          <t>VP Engineering</t>
        </is>
      </c>
      <c r="F10" s="9" t="inlineStr">
        <is>
          <t>claimed</t>
        </is>
      </c>
      <c r="G10" s="9" t="inlineStr">
        <is>
          <t>not_started</t>
        </is>
      </c>
      <c r="H10" s="9" t="inlineStr">
        <is>
          <t>not_started</t>
        </is>
      </c>
      <c r="I10" s="9" t="inlineStr">
        <is>
          <t>not_started</t>
        </is>
      </c>
      <c r="J10" s="9" t="inlineStr">
        <is>
          <t>Unverified claim</t>
        </is>
      </c>
      <c r="K10" s="9" t="inlineStr">
        <is>
          <t>GAP-11</t>
        </is>
      </c>
      <c r="L10" s="9" t="n"/>
    </row>
    <row r="11">
      <c r="A11" s="9" t="inlineStr">
        <is>
          <t>6.1.1</t>
        </is>
      </c>
      <c r="B11" s="9" t="inlineStr">
        <is>
          <t>Actions to address risks and opportunities - general</t>
        </is>
      </c>
      <c r="C11" s="9" t="inlineStr">
        <is>
          <t>Clause</t>
        </is>
      </c>
      <c r="D11" s="9" t="inlineStr">
        <is>
          <t>Yes</t>
        </is>
      </c>
      <c r="E11" s="9" t="inlineStr">
        <is>
          <t>Security &amp; Compliance</t>
        </is>
      </c>
      <c r="F11" s="9" t="inlineStr">
        <is>
          <t>partial</t>
        </is>
      </c>
      <c r="G11" s="9" t="inlineStr">
        <is>
          <t>not_started</t>
        </is>
      </c>
      <c r="H11" s="9" t="inlineStr">
        <is>
          <t>not_started</t>
        </is>
      </c>
      <c r="I11" s="9" t="inlineStr">
        <is>
          <t>not_started</t>
        </is>
      </c>
      <c r="J11" s="9" t="inlineStr">
        <is>
          <t>In progress</t>
        </is>
      </c>
      <c r="K11" s="9" t="n"/>
      <c r="L11" s="9" t="inlineStr">
        <is>
          <t>EV-005</t>
        </is>
      </c>
    </row>
    <row r="12">
      <c r="A12" s="9" t="inlineStr">
        <is>
          <t>6.1.2</t>
        </is>
      </c>
      <c r="B12" s="9" t="inlineStr">
        <is>
          <t>AI risk assessment</t>
        </is>
      </c>
      <c r="C12" s="9" t="inlineStr">
        <is>
          <t>Clause</t>
        </is>
      </c>
      <c r="D12" s="9" t="inlineStr">
        <is>
          <t>Yes</t>
        </is>
      </c>
      <c r="E12" s="9" t="inlineStr">
        <is>
          <t>Security &amp; Compliance</t>
        </is>
      </c>
      <c r="F12" s="9" t="inlineStr">
        <is>
          <t>partial</t>
        </is>
      </c>
      <c r="G12" s="9" t="inlineStr">
        <is>
          <t>verified</t>
        </is>
      </c>
      <c r="H12" s="9" t="inlineStr">
        <is>
          <t>verified</t>
        </is>
      </c>
      <c r="I12" s="9" t="inlineStr">
        <is>
          <t>not_started</t>
        </is>
      </c>
      <c r="J12" s="9" t="inlineStr">
        <is>
          <t>In progress</t>
        </is>
      </c>
      <c r="K12" s="9" t="n"/>
      <c r="L12" s="9" t="inlineStr">
        <is>
          <t>EV-004, EV-005</t>
        </is>
      </c>
    </row>
    <row r="13">
      <c r="A13" s="9" t="inlineStr">
        <is>
          <t>6.1.3</t>
        </is>
      </c>
      <c r="B13" s="9" t="inlineStr">
        <is>
          <t>AI risk treatment</t>
        </is>
      </c>
      <c r="C13" s="9" t="inlineStr">
        <is>
          <t>Clause</t>
        </is>
      </c>
      <c r="D13" s="9" t="inlineStr">
        <is>
          <t>Yes</t>
        </is>
      </c>
      <c r="E13" s="9" t="inlineStr">
        <is>
          <t>Security &amp; Compliance</t>
        </is>
      </c>
      <c r="F13" s="9" t="inlineStr">
        <is>
          <t>not_started</t>
        </is>
      </c>
      <c r="G13" s="9" t="inlineStr">
        <is>
          <t>partial</t>
        </is>
      </c>
      <c r="H13" s="9" t="inlineStr">
        <is>
          <t>not_started</t>
        </is>
      </c>
      <c r="I13" s="9" t="inlineStr">
        <is>
          <t>not_started</t>
        </is>
      </c>
      <c r="J13" s="9" t="inlineStr">
        <is>
          <t>In progress</t>
        </is>
      </c>
      <c r="K13" s="9" t="inlineStr">
        <is>
          <t>GAP-10</t>
        </is>
      </c>
      <c r="L13" s="9" t="inlineStr">
        <is>
          <t>EV-004</t>
        </is>
      </c>
    </row>
    <row r="14">
      <c r="A14" s="9" t="inlineStr">
        <is>
          <t>6.1.4</t>
        </is>
      </c>
      <c r="B14" s="9" t="inlineStr">
        <is>
          <t>AI system impact assessment</t>
        </is>
      </c>
      <c r="C14" s="9" t="inlineStr">
        <is>
          <t>Clause</t>
        </is>
      </c>
      <c r="D14" s="9" t="inlineStr">
        <is>
          <t>Yes</t>
        </is>
      </c>
      <c r="E14" s="9" t="inlineStr">
        <is>
          <t>Head of Responsible AI</t>
        </is>
      </c>
      <c r="F14" s="9" t="inlineStr">
        <is>
          <t>not_started</t>
        </is>
      </c>
      <c r="G14" s="9" t="inlineStr">
        <is>
          <t>not_started</t>
        </is>
      </c>
      <c r="H14" s="9" t="inlineStr">
        <is>
          <t>not_started</t>
        </is>
      </c>
      <c r="I14" s="9" t="inlineStr">
        <is>
          <t>not_started</t>
        </is>
      </c>
      <c r="J14" s="9" t="inlineStr">
        <is>
          <t>Not started</t>
        </is>
      </c>
      <c r="K14" s="9" t="inlineStr">
        <is>
          <t>GAP-02</t>
        </is>
      </c>
      <c r="L14" s="9" t="n"/>
    </row>
    <row r="15">
      <c r="A15" s="9" t="inlineStr">
        <is>
          <t>6.2</t>
        </is>
      </c>
      <c r="B15" s="9" t="inlineStr">
        <is>
          <t>AI objectives and planning to achieve them</t>
        </is>
      </c>
      <c r="C15" s="9" t="inlineStr">
        <is>
          <t>Clause</t>
        </is>
      </c>
      <c r="D15" s="9" t="inlineStr">
        <is>
          <t>Yes</t>
        </is>
      </c>
      <c r="E15" s="9" t="inlineStr">
        <is>
          <t>VP Engineering</t>
        </is>
      </c>
      <c r="F15" s="9" t="inlineStr">
        <is>
          <t>not_started</t>
        </is>
      </c>
      <c r="G15" s="9" t="inlineStr">
        <is>
          <t>not_started</t>
        </is>
      </c>
      <c r="H15" s="9" t="inlineStr">
        <is>
          <t>not_started</t>
        </is>
      </c>
      <c r="I15" s="9" t="inlineStr">
        <is>
          <t>not_started</t>
        </is>
      </c>
      <c r="J15" s="9" t="inlineStr">
        <is>
          <t>Not started</t>
        </is>
      </c>
      <c r="K15" s="9" t="n"/>
      <c r="L15" s="9" t="n"/>
    </row>
    <row r="16">
      <c r="A16" s="9" t="inlineStr">
        <is>
          <t>6.3</t>
        </is>
      </c>
      <c r="B16" s="9" t="inlineStr">
        <is>
          <t>Planning of changes</t>
        </is>
      </c>
      <c r="C16" s="9" t="inlineStr">
        <is>
          <t>Clause</t>
        </is>
      </c>
      <c r="D16" s="9" t="inlineStr">
        <is>
          <t>Yes</t>
        </is>
      </c>
      <c r="E16" s="9" t="inlineStr">
        <is>
          <t>VP Engineering</t>
        </is>
      </c>
      <c r="F16" s="9" t="inlineStr">
        <is>
          <t>not_started</t>
        </is>
      </c>
      <c r="G16" s="9" t="inlineStr">
        <is>
          <t>not_started</t>
        </is>
      </c>
      <c r="H16" s="9" t="inlineStr">
        <is>
          <t>not_started</t>
        </is>
      </c>
      <c r="I16" s="9" t="inlineStr">
        <is>
          <t>not_started</t>
        </is>
      </c>
      <c r="J16" s="9" t="inlineStr">
        <is>
          <t>Not started</t>
        </is>
      </c>
      <c r="K16" s="9" t="n"/>
      <c r="L16" s="9" t="n"/>
    </row>
    <row r="17">
      <c r="A17" s="9" t="inlineStr">
        <is>
          <t>7.1</t>
        </is>
      </c>
      <c r="B17" s="9" t="inlineStr">
        <is>
          <t>Resources</t>
        </is>
      </c>
      <c r="C17" s="9" t="inlineStr">
        <is>
          <t>Clause</t>
        </is>
      </c>
      <c r="D17" s="9" t="inlineStr">
        <is>
          <t>Yes</t>
        </is>
      </c>
      <c r="E17" s="9" t="inlineStr">
        <is>
          <t>VP Engineering</t>
        </is>
      </c>
      <c r="F17" s="9" t="inlineStr">
        <is>
          <t>claimed</t>
        </is>
      </c>
      <c r="G17" s="9" t="inlineStr">
        <is>
          <t>not_started</t>
        </is>
      </c>
      <c r="H17" s="9" t="inlineStr">
        <is>
          <t>not_started</t>
        </is>
      </c>
      <c r="I17" s="9" t="inlineStr">
        <is>
          <t>not_started</t>
        </is>
      </c>
      <c r="J17" s="9" t="inlineStr">
        <is>
          <t>Unverified claim</t>
        </is>
      </c>
      <c r="K17" s="9" t="n"/>
      <c r="L17" s="9" t="n"/>
    </row>
    <row r="18">
      <c r="A18" s="9" t="inlineStr">
        <is>
          <t>7.2</t>
        </is>
      </c>
      <c r="B18" s="9" t="inlineStr">
        <is>
          <t>Competence</t>
        </is>
      </c>
      <c r="C18" s="9" t="inlineStr">
        <is>
          <t>Clause</t>
        </is>
      </c>
      <c r="D18" s="9" t="inlineStr">
        <is>
          <t>Yes</t>
        </is>
      </c>
      <c r="E18" s="9" t="inlineStr">
        <is>
          <t>People Operations</t>
        </is>
      </c>
      <c r="F18" s="9" t="inlineStr">
        <is>
          <t>not_started</t>
        </is>
      </c>
      <c r="G18" s="9" t="inlineStr">
        <is>
          <t>not_started</t>
        </is>
      </c>
      <c r="H18" s="9" t="inlineStr">
        <is>
          <t>not_started</t>
        </is>
      </c>
      <c r="I18" s="9" t="inlineStr">
        <is>
          <t>not_started</t>
        </is>
      </c>
      <c r="J18" s="9" t="inlineStr">
        <is>
          <t>Not started</t>
        </is>
      </c>
      <c r="K18" s="9" t="inlineStr">
        <is>
          <t>GAP-03</t>
        </is>
      </c>
      <c r="L18" s="9" t="n"/>
    </row>
    <row r="19">
      <c r="A19" s="9" t="inlineStr">
        <is>
          <t>7.3</t>
        </is>
      </c>
      <c r="B19" s="9" t="inlineStr">
        <is>
          <t>Awareness</t>
        </is>
      </c>
      <c r="C19" s="9" t="inlineStr">
        <is>
          <t>Clause</t>
        </is>
      </c>
      <c r="D19" s="9" t="inlineStr">
        <is>
          <t>Yes</t>
        </is>
      </c>
      <c r="E19" s="9" t="inlineStr">
        <is>
          <t>People Operations</t>
        </is>
      </c>
      <c r="F19" s="9" t="inlineStr">
        <is>
          <t>not_started</t>
        </is>
      </c>
      <c r="G19" s="9" t="inlineStr">
        <is>
          <t>partial</t>
        </is>
      </c>
      <c r="H19" s="9" t="inlineStr">
        <is>
          <t>not_started</t>
        </is>
      </c>
      <c r="I19" s="9" t="inlineStr">
        <is>
          <t>not_started</t>
        </is>
      </c>
      <c r="J19" s="9" t="inlineStr">
        <is>
          <t>In progress</t>
        </is>
      </c>
      <c r="K19" s="9" t="inlineStr">
        <is>
          <t>GAP-03</t>
        </is>
      </c>
      <c r="L19" s="9" t="inlineStr">
        <is>
          <t>EV-021</t>
        </is>
      </c>
    </row>
    <row r="20">
      <c r="A20" s="9" t="inlineStr">
        <is>
          <t>7.4</t>
        </is>
      </c>
      <c r="B20" s="9" t="inlineStr">
        <is>
          <t>Communication</t>
        </is>
      </c>
      <c r="C20" s="9" t="inlineStr">
        <is>
          <t>Clause</t>
        </is>
      </c>
      <c r="D20" s="9" t="inlineStr">
        <is>
          <t>Yes</t>
        </is>
      </c>
      <c r="E20" s="9" t="inlineStr">
        <is>
          <t>VP Engineering</t>
        </is>
      </c>
      <c r="F20" s="9" t="inlineStr">
        <is>
          <t>not_started</t>
        </is>
      </c>
      <c r="G20" s="9" t="inlineStr">
        <is>
          <t>not_started</t>
        </is>
      </c>
      <c r="H20" s="9" t="inlineStr">
        <is>
          <t>not_started</t>
        </is>
      </c>
      <c r="I20" s="9" t="inlineStr">
        <is>
          <t>not_started</t>
        </is>
      </c>
      <c r="J20" s="9" t="inlineStr">
        <is>
          <t>Not started</t>
        </is>
      </c>
      <c r="K20" s="9" t="n"/>
      <c r="L20" s="9" t="n"/>
    </row>
    <row r="21">
      <c r="A21" s="9" t="inlineStr">
        <is>
          <t>7.5</t>
        </is>
      </c>
      <c r="B21" s="9" t="inlineStr">
        <is>
          <t>Documented information</t>
        </is>
      </c>
      <c r="C21" s="9" t="inlineStr">
        <is>
          <t>Clause</t>
        </is>
      </c>
      <c r="D21" s="9" t="inlineStr">
        <is>
          <t>Yes</t>
        </is>
      </c>
      <c r="E21" s="9" t="inlineStr">
        <is>
          <t>Security &amp; Compliance</t>
        </is>
      </c>
      <c r="F21" s="9" t="inlineStr">
        <is>
          <t>verified</t>
        </is>
      </c>
      <c r="G21" s="9" t="inlineStr">
        <is>
          <t>claimed</t>
        </is>
      </c>
      <c r="H21" s="9" t="inlineStr">
        <is>
          <t>not_started</t>
        </is>
      </c>
      <c r="I21" s="9" t="inlineStr">
        <is>
          <t>not_started</t>
        </is>
      </c>
      <c r="J21" s="9" t="inlineStr">
        <is>
          <t>In progress</t>
        </is>
      </c>
      <c r="K21" s="9" t="n"/>
      <c r="L21" s="9" t="inlineStr">
        <is>
          <t>EV-020</t>
        </is>
      </c>
    </row>
    <row r="22">
      <c r="A22" s="9" t="inlineStr">
        <is>
          <t>8.1</t>
        </is>
      </c>
      <c r="B22" s="9" t="inlineStr">
        <is>
          <t>Operational planning and control</t>
        </is>
      </c>
      <c r="C22" s="9" t="inlineStr">
        <is>
          <t>Clause</t>
        </is>
      </c>
      <c r="D22" s="9" t="inlineStr">
        <is>
          <t>Yes</t>
        </is>
      </c>
      <c r="E22" s="9" t="inlineStr">
        <is>
          <t>Head of Platform</t>
        </is>
      </c>
      <c r="F22" s="9" t="inlineStr">
        <is>
          <t>partial</t>
        </is>
      </c>
      <c r="G22" s="9" t="inlineStr">
        <is>
          <t>partial</t>
        </is>
      </c>
      <c r="H22" s="9" t="inlineStr">
        <is>
          <t>not_started</t>
        </is>
      </c>
      <c r="I22" s="9" t="inlineStr">
        <is>
          <t>not_started</t>
        </is>
      </c>
      <c r="J22" s="9" t="inlineStr">
        <is>
          <t>In progress</t>
        </is>
      </c>
      <c r="K22" s="9" t="inlineStr">
        <is>
          <t>GAP-05</t>
        </is>
      </c>
      <c r="L22" s="9" t="inlineStr">
        <is>
          <t>EV-008, EV-009</t>
        </is>
      </c>
    </row>
    <row r="23">
      <c r="A23" s="9" t="inlineStr">
        <is>
          <t>8.2</t>
        </is>
      </c>
      <c r="B23" s="9" t="inlineStr">
        <is>
          <t>AI risk assessment (operation)</t>
        </is>
      </c>
      <c r="C23" s="9" t="inlineStr">
        <is>
          <t>Clause</t>
        </is>
      </c>
      <c r="D23" s="9" t="inlineStr">
        <is>
          <t>Yes</t>
        </is>
      </c>
      <c r="E23" s="9" t="inlineStr">
        <is>
          <t>Security &amp; Compliance</t>
        </is>
      </c>
      <c r="F23" s="9" t="inlineStr">
        <is>
          <t>partial</t>
        </is>
      </c>
      <c r="G23" s="9" t="inlineStr">
        <is>
          <t>verified</t>
        </is>
      </c>
      <c r="H23" s="9" t="inlineStr">
        <is>
          <t>verified</t>
        </is>
      </c>
      <c r="I23" s="9" t="inlineStr">
        <is>
          <t>not_started</t>
        </is>
      </c>
      <c r="J23" s="9" t="inlineStr">
        <is>
          <t>In progress</t>
        </is>
      </c>
      <c r="K23" s="9" t="n"/>
      <c r="L23" s="9" t="inlineStr">
        <is>
          <t>EV-004, EV-005</t>
        </is>
      </c>
    </row>
    <row r="24">
      <c r="A24" s="9" t="inlineStr">
        <is>
          <t>8.3</t>
        </is>
      </c>
      <c r="B24" s="9" t="inlineStr">
        <is>
          <t>AI risk treatment (operation)</t>
        </is>
      </c>
      <c r="C24" s="9" t="inlineStr">
        <is>
          <t>Clause</t>
        </is>
      </c>
      <c r="D24" s="9" t="inlineStr">
        <is>
          <t>Yes</t>
        </is>
      </c>
      <c r="E24" s="9" t="inlineStr">
        <is>
          <t>Security &amp; Compliance</t>
        </is>
      </c>
      <c r="F24" s="9" t="inlineStr">
        <is>
          <t>not_started</t>
        </is>
      </c>
      <c r="G24" s="9" t="inlineStr">
        <is>
          <t>partial</t>
        </is>
      </c>
      <c r="H24" s="9" t="inlineStr">
        <is>
          <t>not_started</t>
        </is>
      </c>
      <c r="I24" s="9" t="inlineStr">
        <is>
          <t>not_started</t>
        </is>
      </c>
      <c r="J24" s="9" t="inlineStr">
        <is>
          <t>In progress</t>
        </is>
      </c>
      <c r="K24" s="9" t="n"/>
      <c r="L24" s="9" t="inlineStr">
        <is>
          <t>EV-004</t>
        </is>
      </c>
    </row>
    <row r="25">
      <c r="A25" s="9" t="inlineStr">
        <is>
          <t>8.4</t>
        </is>
      </c>
      <c r="B25" s="9" t="inlineStr">
        <is>
          <t>AI system impact assessment (operation)</t>
        </is>
      </c>
      <c r="C25" s="9" t="inlineStr">
        <is>
          <t>Clause</t>
        </is>
      </c>
      <c r="D25" s="9" t="inlineStr">
        <is>
          <t>Yes</t>
        </is>
      </c>
      <c r="E25" s="9" t="inlineStr">
        <is>
          <t>Head of Responsible AI</t>
        </is>
      </c>
      <c r="F25" s="9" t="inlineStr">
        <is>
          <t>not_started</t>
        </is>
      </c>
      <c r="G25" s="9" t="inlineStr">
        <is>
          <t>not_started</t>
        </is>
      </c>
      <c r="H25" s="9" t="inlineStr">
        <is>
          <t>not_started</t>
        </is>
      </c>
      <c r="I25" s="9" t="inlineStr">
        <is>
          <t>not_started</t>
        </is>
      </c>
      <c r="J25" s="9" t="inlineStr">
        <is>
          <t>Not started</t>
        </is>
      </c>
      <c r="K25" s="9" t="inlineStr">
        <is>
          <t>GAP-02</t>
        </is>
      </c>
      <c r="L25" s="9" t="n"/>
    </row>
    <row r="26">
      <c r="A26" s="9" t="inlineStr">
        <is>
          <t>9.1</t>
        </is>
      </c>
      <c r="B26" s="9" t="inlineStr">
        <is>
          <t>Monitoring, measurement, analysis and evaluation</t>
        </is>
      </c>
      <c r="C26" s="9" t="inlineStr">
        <is>
          <t>Clause</t>
        </is>
      </c>
      <c r="D26" s="9" t="inlineStr">
        <is>
          <t>Yes</t>
        </is>
      </c>
      <c r="E26" s="9" t="inlineStr">
        <is>
          <t>Head of Platform</t>
        </is>
      </c>
      <c r="F26" s="9" t="inlineStr">
        <is>
          <t>not_started</t>
        </is>
      </c>
      <c r="G26" s="9" t="inlineStr">
        <is>
          <t>partial</t>
        </is>
      </c>
      <c r="H26" s="9" t="inlineStr">
        <is>
          <t>not_started</t>
        </is>
      </c>
      <c r="I26" s="9" t="inlineStr">
        <is>
          <t>not_started</t>
        </is>
      </c>
      <c r="J26" s="9" t="inlineStr">
        <is>
          <t>In progress</t>
        </is>
      </c>
      <c r="K26" s="9" t="n"/>
      <c r="L26" s="9" t="inlineStr">
        <is>
          <t>EV-012</t>
        </is>
      </c>
    </row>
    <row r="27">
      <c r="A27" s="9" t="inlineStr">
        <is>
          <t>9.2</t>
        </is>
      </c>
      <c r="B27" s="9" t="inlineStr">
        <is>
          <t>Internal audit</t>
        </is>
      </c>
      <c r="C27" s="9" t="inlineStr">
        <is>
          <t>Clause</t>
        </is>
      </c>
      <c r="D27" s="9" t="inlineStr">
        <is>
          <t>Yes</t>
        </is>
      </c>
      <c r="E27" s="9" t="inlineStr">
        <is>
          <t>Security &amp; Compliance</t>
        </is>
      </c>
      <c r="F27" s="9" t="inlineStr">
        <is>
          <t>not_started</t>
        </is>
      </c>
      <c r="G27" s="9" t="inlineStr">
        <is>
          <t>not_started</t>
        </is>
      </c>
      <c r="H27" s="9" t="inlineStr">
        <is>
          <t>not_started</t>
        </is>
      </c>
      <c r="I27" s="9" t="inlineStr">
        <is>
          <t>not_started</t>
        </is>
      </c>
      <c r="J27" s="9" t="inlineStr">
        <is>
          <t>Not started</t>
        </is>
      </c>
      <c r="K27" s="9" t="inlineStr">
        <is>
          <t>GAP-08</t>
        </is>
      </c>
      <c r="L27" s="9" t="n"/>
    </row>
    <row r="28">
      <c r="A28" s="9" t="inlineStr">
        <is>
          <t>9.3</t>
        </is>
      </c>
      <c r="B28" s="9" t="inlineStr">
        <is>
          <t>Management review</t>
        </is>
      </c>
      <c r="C28" s="9" t="inlineStr">
        <is>
          <t>Clause</t>
        </is>
      </c>
      <c r="D28" s="9" t="inlineStr">
        <is>
          <t>Yes</t>
        </is>
      </c>
      <c r="E28" s="9" t="inlineStr">
        <is>
          <t>VP Engineering</t>
        </is>
      </c>
      <c r="F28" s="9" t="inlineStr">
        <is>
          <t>not_started</t>
        </is>
      </c>
      <c r="G28" s="9" t="inlineStr">
        <is>
          <t>partial</t>
        </is>
      </c>
      <c r="H28" s="9" t="inlineStr">
        <is>
          <t>not_started</t>
        </is>
      </c>
      <c r="I28" s="9" t="inlineStr">
        <is>
          <t>not_started</t>
        </is>
      </c>
      <c r="J28" s="9" t="inlineStr">
        <is>
          <t>In progress</t>
        </is>
      </c>
      <c r="K28" s="9" t="inlineStr">
        <is>
          <t>GAP-09</t>
        </is>
      </c>
      <c r="L28" s="9" t="inlineStr">
        <is>
          <t>EV-016</t>
        </is>
      </c>
    </row>
    <row r="29">
      <c r="A29" s="9" t="inlineStr">
        <is>
          <t>10.1</t>
        </is>
      </c>
      <c r="B29" s="9" t="inlineStr">
        <is>
          <t>Continual improvement</t>
        </is>
      </c>
      <c r="C29" s="9" t="inlineStr">
        <is>
          <t>Clause</t>
        </is>
      </c>
      <c r="D29" s="9" t="inlineStr">
        <is>
          <t>Yes</t>
        </is>
      </c>
      <c r="E29" s="9" t="inlineStr">
        <is>
          <t>VP Engineering</t>
        </is>
      </c>
      <c r="F29" s="9" t="inlineStr">
        <is>
          <t>not_started</t>
        </is>
      </c>
      <c r="G29" s="9" t="inlineStr">
        <is>
          <t>not_started</t>
        </is>
      </c>
      <c r="H29" s="9" t="inlineStr">
        <is>
          <t>not_started</t>
        </is>
      </c>
      <c r="I29" s="9" t="inlineStr">
        <is>
          <t>not_started</t>
        </is>
      </c>
      <c r="J29" s="9" t="inlineStr">
        <is>
          <t>Not started</t>
        </is>
      </c>
      <c r="K29" s="9" t="n"/>
      <c r="L29" s="9" t="n"/>
    </row>
    <row r="30">
      <c r="A30" s="9" t="inlineStr">
        <is>
          <t>10.2</t>
        </is>
      </c>
      <c r="B30" s="9" t="inlineStr">
        <is>
          <t>Nonconformity and corrective action</t>
        </is>
      </c>
      <c r="C30" s="9" t="inlineStr">
        <is>
          <t>Clause</t>
        </is>
      </c>
      <c r="D30" s="9" t="inlineStr">
        <is>
          <t>Yes</t>
        </is>
      </c>
      <c r="E30" s="9" t="inlineStr">
        <is>
          <t>Security &amp; Compliance</t>
        </is>
      </c>
      <c r="F30" s="9" t="inlineStr">
        <is>
          <t>verified</t>
        </is>
      </c>
      <c r="G30" s="9" t="inlineStr">
        <is>
          <t>partial</t>
        </is>
      </c>
      <c r="H30" s="9" t="inlineStr">
        <is>
          <t>not_started</t>
        </is>
      </c>
      <c r="I30" s="9" t="inlineStr">
        <is>
          <t>not_started</t>
        </is>
      </c>
      <c r="J30" s="9" t="inlineStr">
        <is>
          <t>In progress</t>
        </is>
      </c>
      <c r="K30" s="9" t="n"/>
      <c r="L30" s="9" t="inlineStr">
        <is>
          <t>EV-013, EV-014</t>
        </is>
      </c>
    </row>
    <row r="31">
      <c r="A31" s="9" t="inlineStr">
        <is>
          <t>A.2.2</t>
        </is>
      </c>
      <c r="B31" s="9" t="inlineStr">
        <is>
          <t>AI policy</t>
        </is>
      </c>
      <c r="C31" s="9" t="inlineStr">
        <is>
          <t>Annex A</t>
        </is>
      </c>
      <c r="D31" s="9" t="inlineStr">
        <is>
          <t>Yes</t>
        </is>
      </c>
      <c r="E31" s="9" t="inlineStr">
        <is>
          <t>VP Engineering</t>
        </is>
      </c>
      <c r="F31" s="9" t="inlineStr">
        <is>
          <t>not_started</t>
        </is>
      </c>
      <c r="G31" s="9" t="inlineStr">
        <is>
          <t>not_started</t>
        </is>
      </c>
      <c r="H31" s="9" t="inlineStr">
        <is>
          <t>not_started</t>
        </is>
      </c>
      <c r="I31" s="9" t="inlineStr">
        <is>
          <t>not_started</t>
        </is>
      </c>
      <c r="J31" s="9" t="inlineStr">
        <is>
          <t>Not started</t>
        </is>
      </c>
      <c r="K31" s="9" t="inlineStr">
        <is>
          <t>GAP-01</t>
        </is>
      </c>
      <c r="L31" s="9" t="n"/>
    </row>
    <row r="32">
      <c r="A32" s="9" t="inlineStr">
        <is>
          <t>A.2.3</t>
        </is>
      </c>
      <c r="B32" s="9" t="inlineStr">
        <is>
          <t>Alignment with other organizational policies</t>
        </is>
      </c>
      <c r="C32" s="9" t="inlineStr">
        <is>
          <t>Annex A</t>
        </is>
      </c>
      <c r="D32" s="9" t="inlineStr">
        <is>
          <t>Yes</t>
        </is>
      </c>
      <c r="E32" s="9" t="inlineStr">
        <is>
          <t>Security &amp; Compliance</t>
        </is>
      </c>
      <c r="F32" s="9" t="inlineStr">
        <is>
          <t>not_started</t>
        </is>
      </c>
      <c r="G32" s="9" t="inlineStr">
        <is>
          <t>not_started</t>
        </is>
      </c>
      <c r="H32" s="9" t="inlineStr">
        <is>
          <t>not_started</t>
        </is>
      </c>
      <c r="I32" s="9" t="inlineStr">
        <is>
          <t>not_started</t>
        </is>
      </c>
      <c r="J32" s="9" t="inlineStr">
        <is>
          <t>Not started</t>
        </is>
      </c>
      <c r="K32" s="9" t="n"/>
      <c r="L32" s="9" t="n"/>
    </row>
    <row r="33">
      <c r="A33" s="9" t="inlineStr">
        <is>
          <t>A.2.4</t>
        </is>
      </c>
      <c r="B33" s="9" t="inlineStr">
        <is>
          <t>Review of the AI policy</t>
        </is>
      </c>
      <c r="C33" s="9" t="inlineStr">
        <is>
          <t>Annex A</t>
        </is>
      </c>
      <c r="D33" s="9" t="inlineStr">
        <is>
          <t>Yes</t>
        </is>
      </c>
      <c r="E33" s="9" t="inlineStr">
        <is>
          <t>Security &amp; Compliance</t>
        </is>
      </c>
      <c r="F33" s="9" t="inlineStr">
        <is>
          <t>not_started</t>
        </is>
      </c>
      <c r="G33" s="9" t="inlineStr">
        <is>
          <t>not_started</t>
        </is>
      </c>
      <c r="H33" s="9" t="inlineStr">
        <is>
          <t>not_started</t>
        </is>
      </c>
      <c r="I33" s="9" t="inlineStr">
        <is>
          <t>not_started</t>
        </is>
      </c>
      <c r="J33" s="9" t="inlineStr">
        <is>
          <t>Not started</t>
        </is>
      </c>
      <c r="K33" s="9" t="n"/>
      <c r="L33" s="9" t="n"/>
    </row>
    <row r="34">
      <c r="A34" s="9" t="inlineStr">
        <is>
          <t>A.3.2</t>
        </is>
      </c>
      <c r="B34" s="9" t="inlineStr">
        <is>
          <t>AI roles and responsibilities</t>
        </is>
      </c>
      <c r="C34" s="9" t="inlineStr">
        <is>
          <t>Annex A</t>
        </is>
      </c>
      <c r="D34" s="9" t="inlineStr">
        <is>
          <t>Yes</t>
        </is>
      </c>
      <c r="E34" s="9" t="inlineStr">
        <is>
          <t>VP Engineering</t>
        </is>
      </c>
      <c r="F34" s="9" t="inlineStr">
        <is>
          <t>claimed</t>
        </is>
      </c>
      <c r="G34" s="9" t="inlineStr">
        <is>
          <t>not_started</t>
        </is>
      </c>
      <c r="H34" s="9" t="inlineStr">
        <is>
          <t>not_started</t>
        </is>
      </c>
      <c r="I34" s="9" t="inlineStr">
        <is>
          <t>not_started</t>
        </is>
      </c>
      <c r="J34" s="9" t="inlineStr">
        <is>
          <t>Unverified claim</t>
        </is>
      </c>
      <c r="K34" s="9" t="inlineStr">
        <is>
          <t>GAP-11</t>
        </is>
      </c>
      <c r="L34" s="9" t="n"/>
    </row>
    <row r="35">
      <c r="A35" s="9" t="inlineStr">
        <is>
          <t>A.3.3</t>
        </is>
      </c>
      <c r="B35" s="9" t="inlineStr">
        <is>
          <t>Reporting of concerns</t>
        </is>
      </c>
      <c r="C35" s="9" t="inlineStr">
        <is>
          <t>Annex A</t>
        </is>
      </c>
      <c r="D35" s="9" t="inlineStr">
        <is>
          <t>Yes</t>
        </is>
      </c>
      <c r="E35" s="9" t="inlineStr">
        <is>
          <t>Legal</t>
        </is>
      </c>
      <c r="F35" s="9" t="inlineStr">
        <is>
          <t>not_started</t>
        </is>
      </c>
      <c r="G35" s="9" t="inlineStr">
        <is>
          <t>not_started</t>
        </is>
      </c>
      <c r="H35" s="9" t="inlineStr">
        <is>
          <t>not_started</t>
        </is>
      </c>
      <c r="I35" s="9" t="inlineStr">
        <is>
          <t>not_started</t>
        </is>
      </c>
      <c r="J35" s="9" t="inlineStr">
        <is>
          <t>Not started</t>
        </is>
      </c>
      <c r="K35" s="9" t="inlineStr">
        <is>
          <t>GAP-12</t>
        </is>
      </c>
      <c r="L35" s="9" t="n"/>
    </row>
    <row r="36">
      <c r="A36" s="9" t="inlineStr">
        <is>
          <t>A.4.2</t>
        </is>
      </c>
      <c r="B36" s="9" t="inlineStr">
        <is>
          <t>Resource documentation</t>
        </is>
      </c>
      <c r="C36" s="9" t="inlineStr">
        <is>
          <t>Annex A</t>
        </is>
      </c>
      <c r="D36" s="9" t="inlineStr">
        <is>
          <t>Yes</t>
        </is>
      </c>
      <c r="E36" s="9" t="inlineStr">
        <is>
          <t>Head of Platform</t>
        </is>
      </c>
      <c r="F36" s="9" t="inlineStr">
        <is>
          <t>partial</t>
        </is>
      </c>
      <c r="G36" s="9" t="inlineStr">
        <is>
          <t>verified</t>
        </is>
      </c>
      <c r="H36" s="9" t="inlineStr">
        <is>
          <t>partial</t>
        </is>
      </c>
      <c r="I36" s="9" t="inlineStr">
        <is>
          <t>not_started</t>
        </is>
      </c>
      <c r="J36" s="9" t="inlineStr">
        <is>
          <t>In progress</t>
        </is>
      </c>
      <c r="K36" s="9" t="n"/>
      <c r="L36" s="9" t="inlineStr">
        <is>
          <t>EV-001, EV-002, EV-003</t>
        </is>
      </c>
    </row>
    <row r="37">
      <c r="A37" s="9" t="inlineStr">
        <is>
          <t>A.4.3</t>
        </is>
      </c>
      <c r="B37" s="9" t="inlineStr">
        <is>
          <t>Data resources</t>
        </is>
      </c>
      <c r="C37" s="9" t="inlineStr">
        <is>
          <t>Annex A</t>
        </is>
      </c>
      <c r="D37" s="9" t="inlineStr">
        <is>
          <t>Yes</t>
        </is>
      </c>
      <c r="E37" s="9" t="inlineStr">
        <is>
          <t>Head of Platform</t>
        </is>
      </c>
      <c r="F37" s="9" t="inlineStr">
        <is>
          <t>claimed</t>
        </is>
      </c>
      <c r="G37" s="9" t="inlineStr">
        <is>
          <t>not_started</t>
        </is>
      </c>
      <c r="H37" s="9" t="inlineStr">
        <is>
          <t>not_started</t>
        </is>
      </c>
      <c r="I37" s="9" t="inlineStr">
        <is>
          <t>not_started</t>
        </is>
      </c>
      <c r="J37" s="9" t="inlineStr">
        <is>
          <t>Unverified claim</t>
        </is>
      </c>
      <c r="K37" s="9" t="inlineStr">
        <is>
          <t>GAP-04</t>
        </is>
      </c>
      <c r="L37" s="9" t="n"/>
    </row>
    <row r="38">
      <c r="A38" s="9" t="inlineStr">
        <is>
          <t>A.4.4</t>
        </is>
      </c>
      <c r="B38" s="9" t="inlineStr">
        <is>
          <t>Tooling resources</t>
        </is>
      </c>
      <c r="C38" s="9" t="inlineStr">
        <is>
          <t>Annex A</t>
        </is>
      </c>
      <c r="D38" s="9" t="inlineStr">
        <is>
          <t>Yes</t>
        </is>
      </c>
      <c r="E38" s="9" t="inlineStr">
        <is>
          <t>Head of Platform</t>
        </is>
      </c>
      <c r="F38" s="9" t="inlineStr">
        <is>
          <t>not_started</t>
        </is>
      </c>
      <c r="G38" s="9" t="inlineStr">
        <is>
          <t>claimed</t>
        </is>
      </c>
      <c r="H38" s="9" t="inlineStr">
        <is>
          <t>not_started</t>
        </is>
      </c>
      <c r="I38" s="9" t="inlineStr">
        <is>
          <t>not_started</t>
        </is>
      </c>
      <c r="J38" s="9" t="inlineStr">
        <is>
          <t>Unverified claim</t>
        </is>
      </c>
      <c r="K38" s="9" t="n"/>
      <c r="L38" s="9" t="n"/>
    </row>
    <row r="39">
      <c r="A39" s="9" t="inlineStr">
        <is>
          <t>A.4.5</t>
        </is>
      </c>
      <c r="B39" s="9" t="inlineStr">
        <is>
          <t>System and computing resources</t>
        </is>
      </c>
      <c r="C39" s="9" t="inlineStr">
        <is>
          <t>Annex A</t>
        </is>
      </c>
      <c r="D39" s="9" t="inlineStr">
        <is>
          <t>Yes</t>
        </is>
      </c>
      <c r="E39" s="9" t="inlineStr">
        <is>
          <t>Head of Platform</t>
        </is>
      </c>
      <c r="F39" s="9" t="inlineStr">
        <is>
          <t>not_started</t>
        </is>
      </c>
      <c r="G39" s="9" t="inlineStr">
        <is>
          <t>claimed</t>
        </is>
      </c>
      <c r="H39" s="9" t="inlineStr">
        <is>
          <t>not_started</t>
        </is>
      </c>
      <c r="I39" s="9" t="inlineStr">
        <is>
          <t>not_started</t>
        </is>
      </c>
      <c r="J39" s="9" t="inlineStr">
        <is>
          <t>Unverified claim</t>
        </is>
      </c>
      <c r="K39" s="9" t="n"/>
      <c r="L39" s="9" t="n"/>
    </row>
    <row r="40">
      <c r="A40" s="9" t="inlineStr">
        <is>
          <t>A.4.6</t>
        </is>
      </c>
      <c r="B40" s="9" t="inlineStr">
        <is>
          <t>Human resources</t>
        </is>
      </c>
      <c r="C40" s="9" t="inlineStr">
        <is>
          <t>Annex A</t>
        </is>
      </c>
      <c r="D40" s="9" t="inlineStr">
        <is>
          <t>Yes</t>
        </is>
      </c>
      <c r="E40" s="9" t="inlineStr">
        <is>
          <t>People Operations</t>
        </is>
      </c>
      <c r="F40" s="9" t="inlineStr">
        <is>
          <t>not_started</t>
        </is>
      </c>
      <c r="G40" s="9" t="inlineStr">
        <is>
          <t>not_started</t>
        </is>
      </c>
      <c r="H40" s="9" t="inlineStr">
        <is>
          <t>not_started</t>
        </is>
      </c>
      <c r="I40" s="9" t="inlineStr">
        <is>
          <t>not_started</t>
        </is>
      </c>
      <c r="J40" s="9" t="inlineStr">
        <is>
          <t>Not started</t>
        </is>
      </c>
      <c r="K40" s="9" t="inlineStr">
        <is>
          <t>GAP-03</t>
        </is>
      </c>
      <c r="L40" s="9" t="n"/>
    </row>
    <row r="41">
      <c r="A41" s="9" t="inlineStr">
        <is>
          <t>A.5.2</t>
        </is>
      </c>
      <c r="B41" s="9" t="inlineStr">
        <is>
          <t>AI system impact assessment process</t>
        </is>
      </c>
      <c r="C41" s="9" t="inlineStr">
        <is>
          <t>Annex A</t>
        </is>
      </c>
      <c r="D41" s="9" t="inlineStr">
        <is>
          <t>Yes</t>
        </is>
      </c>
      <c r="E41" s="9" t="inlineStr">
        <is>
          <t>Head of Responsible AI</t>
        </is>
      </c>
      <c r="F41" s="9" t="inlineStr">
        <is>
          <t>not_started</t>
        </is>
      </c>
      <c r="G41" s="9" t="inlineStr">
        <is>
          <t>not_started</t>
        </is>
      </c>
      <c r="H41" s="9" t="inlineStr">
        <is>
          <t>not_started</t>
        </is>
      </c>
      <c r="I41" s="9" t="inlineStr">
        <is>
          <t>not_started</t>
        </is>
      </c>
      <c r="J41" s="9" t="inlineStr">
        <is>
          <t>Not started</t>
        </is>
      </c>
      <c r="K41" s="9" t="inlineStr">
        <is>
          <t>GAP-02</t>
        </is>
      </c>
      <c r="L41" s="9" t="n"/>
    </row>
    <row r="42">
      <c r="A42" s="9" t="inlineStr">
        <is>
          <t>A.5.3</t>
        </is>
      </c>
      <c r="B42" s="9" t="inlineStr">
        <is>
          <t>Documentation of AI system impact assessments</t>
        </is>
      </c>
      <c r="C42" s="9" t="inlineStr">
        <is>
          <t>Annex A</t>
        </is>
      </c>
      <c r="D42" s="9" t="inlineStr">
        <is>
          <t>Yes</t>
        </is>
      </c>
      <c r="E42" s="9" t="inlineStr">
        <is>
          <t>Head of Responsible AI</t>
        </is>
      </c>
      <c r="F42" s="9" t="inlineStr">
        <is>
          <t>not_started</t>
        </is>
      </c>
      <c r="G42" s="9" t="inlineStr">
        <is>
          <t>not_started</t>
        </is>
      </c>
      <c r="H42" s="9" t="inlineStr">
        <is>
          <t>not_started</t>
        </is>
      </c>
      <c r="I42" s="9" t="inlineStr">
        <is>
          <t>not_started</t>
        </is>
      </c>
      <c r="J42" s="9" t="inlineStr">
        <is>
          <t>Not started</t>
        </is>
      </c>
      <c r="K42" s="9" t="inlineStr">
        <is>
          <t>GAP-02</t>
        </is>
      </c>
      <c r="L42" s="9" t="n"/>
    </row>
    <row r="43">
      <c r="A43" s="9" t="inlineStr">
        <is>
          <t>A.5.4</t>
        </is>
      </c>
      <c r="B43" s="9" t="inlineStr">
        <is>
          <t>Assessing AI system impact on individuals or groups of individuals</t>
        </is>
      </c>
      <c r="C43" s="9" t="inlineStr">
        <is>
          <t>Annex A</t>
        </is>
      </c>
      <c r="D43" s="9" t="inlineStr">
        <is>
          <t>Yes</t>
        </is>
      </c>
      <c r="E43" s="9" t="inlineStr">
        <is>
          <t>Head of Responsible AI</t>
        </is>
      </c>
      <c r="F43" s="9" t="inlineStr">
        <is>
          <t>not_started</t>
        </is>
      </c>
      <c r="G43" s="9" t="inlineStr">
        <is>
          <t>not_started</t>
        </is>
      </c>
      <c r="H43" s="9" t="inlineStr">
        <is>
          <t>not_started</t>
        </is>
      </c>
      <c r="I43" s="9" t="inlineStr">
        <is>
          <t>not_started</t>
        </is>
      </c>
      <c r="J43" s="9" t="inlineStr">
        <is>
          <t>Not started</t>
        </is>
      </c>
      <c r="K43" s="9" t="inlineStr">
        <is>
          <t>GAP-02</t>
        </is>
      </c>
      <c r="L43" s="9" t="n"/>
    </row>
    <row r="44">
      <c r="A44" s="9" t="inlineStr">
        <is>
          <t>A.5.5</t>
        </is>
      </c>
      <c r="B44" s="9" t="inlineStr">
        <is>
          <t>Assessing societal impacts of AI systems</t>
        </is>
      </c>
      <c r="C44" s="9" t="inlineStr">
        <is>
          <t>Annex A</t>
        </is>
      </c>
      <c r="D44" s="9" t="inlineStr">
        <is>
          <t>Yes</t>
        </is>
      </c>
      <c r="E44" s="9" t="inlineStr">
        <is>
          <t>Head of Responsible AI</t>
        </is>
      </c>
      <c r="F44" s="9" t="inlineStr">
        <is>
          <t>not_started</t>
        </is>
      </c>
      <c r="G44" s="9" t="inlineStr">
        <is>
          <t>not_started</t>
        </is>
      </c>
      <c r="H44" s="9" t="inlineStr">
        <is>
          <t>not_started</t>
        </is>
      </c>
      <c r="I44" s="9" t="inlineStr">
        <is>
          <t>not_started</t>
        </is>
      </c>
      <c r="J44" s="9" t="inlineStr">
        <is>
          <t>Not started</t>
        </is>
      </c>
      <c r="K44" s="9" t="inlineStr">
        <is>
          <t>GAP-02</t>
        </is>
      </c>
      <c r="L44" s="9" t="n"/>
    </row>
    <row r="45">
      <c r="A45" s="9" t="inlineStr">
        <is>
          <t>A.6.1.2</t>
        </is>
      </c>
      <c r="B45" s="9" t="inlineStr">
        <is>
          <t>Objectives for responsible development of AI system</t>
        </is>
      </c>
      <c r="C45" s="9" t="inlineStr">
        <is>
          <t>Annex A</t>
        </is>
      </c>
      <c r="D45" s="9" t="inlineStr">
        <is>
          <t>Yes</t>
        </is>
      </c>
      <c r="E45" s="9" t="inlineStr">
        <is>
          <t>Head of Responsible AI</t>
        </is>
      </c>
      <c r="F45" s="9" t="inlineStr">
        <is>
          <t>partial</t>
        </is>
      </c>
      <c r="G45" s="9" t="inlineStr">
        <is>
          <t>not_started</t>
        </is>
      </c>
      <c r="H45" s="9" t="inlineStr">
        <is>
          <t>not_started</t>
        </is>
      </c>
      <c r="I45" s="9" t="inlineStr">
        <is>
          <t>not_started</t>
        </is>
      </c>
      <c r="J45" s="9" t="inlineStr">
        <is>
          <t>In progress</t>
        </is>
      </c>
      <c r="K45" s="9" t="n"/>
      <c r="L45" s="9" t="inlineStr">
        <is>
          <t>EV-006</t>
        </is>
      </c>
    </row>
    <row r="46">
      <c r="A46" s="9" t="inlineStr">
        <is>
          <t>A.6.1.3</t>
        </is>
      </c>
      <c r="B46" s="9" t="inlineStr">
        <is>
          <t>Processes for responsible AI system design and development</t>
        </is>
      </c>
      <c r="C46" s="9" t="inlineStr">
        <is>
          <t>Annex A</t>
        </is>
      </c>
      <c r="D46" s="9" t="inlineStr">
        <is>
          <t>Yes</t>
        </is>
      </c>
      <c r="E46" s="9" t="inlineStr">
        <is>
          <t>Head of Platform</t>
        </is>
      </c>
      <c r="F46" s="9" t="inlineStr">
        <is>
          <t>partial</t>
        </is>
      </c>
      <c r="G46" s="9" t="inlineStr">
        <is>
          <t>partial</t>
        </is>
      </c>
      <c r="H46" s="9" t="inlineStr">
        <is>
          <t>not_started</t>
        </is>
      </c>
      <c r="I46" s="9" t="inlineStr">
        <is>
          <t>not_started</t>
        </is>
      </c>
      <c r="J46" s="9" t="inlineStr">
        <is>
          <t>In progress</t>
        </is>
      </c>
      <c r="K46" s="9" t="inlineStr">
        <is>
          <t>GAP-06</t>
        </is>
      </c>
      <c r="L46" s="9" t="inlineStr">
        <is>
          <t>EV-008, EV-009</t>
        </is>
      </c>
    </row>
    <row r="47">
      <c r="A47" s="9" t="inlineStr">
        <is>
          <t>A.6.2.2</t>
        </is>
      </c>
      <c r="B47" s="9" t="inlineStr">
        <is>
          <t>AI system requirements and specification</t>
        </is>
      </c>
      <c r="C47" s="9" t="inlineStr">
        <is>
          <t>Annex A</t>
        </is>
      </c>
      <c r="D47" s="9" t="inlineStr">
        <is>
          <t>Yes</t>
        </is>
      </c>
      <c r="E47" s="9" t="inlineStr">
        <is>
          <t>Head of Platform</t>
        </is>
      </c>
      <c r="F47" s="9" t="inlineStr">
        <is>
          <t>not_started</t>
        </is>
      </c>
      <c r="G47" s="9" t="inlineStr">
        <is>
          <t>claimed</t>
        </is>
      </c>
      <c r="H47" s="9" t="inlineStr">
        <is>
          <t>not_started</t>
        </is>
      </c>
      <c r="I47" s="9" t="inlineStr">
        <is>
          <t>not_started</t>
        </is>
      </c>
      <c r="J47" s="9" t="inlineStr">
        <is>
          <t>Unverified claim</t>
        </is>
      </c>
      <c r="K47" s="9" t="n"/>
      <c r="L47" s="9" t="n"/>
    </row>
    <row r="48">
      <c r="A48" s="9" t="inlineStr">
        <is>
          <t>A.6.2.3</t>
        </is>
      </c>
      <c r="B48" s="9" t="inlineStr">
        <is>
          <t>Documentation of AI system design and development</t>
        </is>
      </c>
      <c r="C48" s="9" t="inlineStr">
        <is>
          <t>Annex A</t>
        </is>
      </c>
      <c r="D48" s="9" t="inlineStr">
        <is>
          <t>Yes</t>
        </is>
      </c>
      <c r="E48" s="9" t="inlineStr">
        <is>
          <t>Head of Platform</t>
        </is>
      </c>
      <c r="F48" s="9" t="inlineStr">
        <is>
          <t>not_started</t>
        </is>
      </c>
      <c r="G48" s="9" t="inlineStr">
        <is>
          <t>claimed</t>
        </is>
      </c>
      <c r="H48" s="9" t="inlineStr">
        <is>
          <t>not_started</t>
        </is>
      </c>
      <c r="I48" s="9" t="inlineStr">
        <is>
          <t>not_started</t>
        </is>
      </c>
      <c r="J48" s="9" t="inlineStr">
        <is>
          <t>Unverified claim</t>
        </is>
      </c>
      <c r="K48" s="9" t="n"/>
      <c r="L48" s="9" t="n"/>
    </row>
    <row r="49">
      <c r="A49" s="9" t="inlineStr">
        <is>
          <t>A.6.2.4</t>
        </is>
      </c>
      <c r="B49" s="9" t="inlineStr">
        <is>
          <t>AI system verification and validation</t>
        </is>
      </c>
      <c r="C49" s="9" t="inlineStr">
        <is>
          <t>Annex A</t>
        </is>
      </c>
      <c r="D49" s="9" t="inlineStr">
        <is>
          <t>Yes</t>
        </is>
      </c>
      <c r="E49" s="9" t="inlineStr">
        <is>
          <t>Head of Platform</t>
        </is>
      </c>
      <c r="F49" s="9" t="inlineStr">
        <is>
          <t>claimed</t>
        </is>
      </c>
      <c r="G49" s="9" t="inlineStr">
        <is>
          <t>verified</t>
        </is>
      </c>
      <c r="H49" s="9" t="inlineStr">
        <is>
          <t>verified</t>
        </is>
      </c>
      <c r="I49" s="9" t="inlineStr">
        <is>
          <t>partial</t>
        </is>
      </c>
      <c r="J49" s="9" t="inlineStr">
        <is>
          <t>In progress</t>
        </is>
      </c>
      <c r="K49" s="9" t="inlineStr">
        <is>
          <t>GAP-06</t>
        </is>
      </c>
      <c r="L49" s="9" t="inlineStr">
        <is>
          <t>EV-009, EV-010, EV-011, EV-022</t>
        </is>
      </c>
    </row>
    <row r="50">
      <c r="A50" s="9" t="inlineStr">
        <is>
          <t>A.6.2.5</t>
        </is>
      </c>
      <c r="B50" s="9" t="inlineStr">
        <is>
          <t>AI system deployment</t>
        </is>
      </c>
      <c r="C50" s="9" t="inlineStr">
        <is>
          <t>Annex A</t>
        </is>
      </c>
      <c r="D50" s="9" t="inlineStr">
        <is>
          <t>Yes</t>
        </is>
      </c>
      <c r="E50" s="9" t="inlineStr">
        <is>
          <t>Head of Platform</t>
        </is>
      </c>
      <c r="F50" s="9" t="inlineStr">
        <is>
          <t>claimed</t>
        </is>
      </c>
      <c r="G50" s="9" t="inlineStr">
        <is>
          <t>verified</t>
        </is>
      </c>
      <c r="H50" s="9" t="inlineStr">
        <is>
          <t>verified</t>
        </is>
      </c>
      <c r="I50" s="9" t="inlineStr">
        <is>
          <t>not_started</t>
        </is>
      </c>
      <c r="J50" s="9" t="inlineStr">
        <is>
          <t>In progress</t>
        </is>
      </c>
      <c r="K50" s="9" t="inlineStr">
        <is>
          <t>GAP-06</t>
        </is>
      </c>
      <c r="L50" s="9" t="inlineStr">
        <is>
          <t>EV-009, EV-011</t>
        </is>
      </c>
    </row>
    <row r="51">
      <c r="A51" s="9" t="inlineStr">
        <is>
          <t>A.6.2.6</t>
        </is>
      </c>
      <c r="B51" s="9" t="inlineStr">
        <is>
          <t>AI system operation and monitoring</t>
        </is>
      </c>
      <c r="C51" s="9" t="inlineStr">
        <is>
          <t>Annex A</t>
        </is>
      </c>
      <c r="D51" s="9" t="inlineStr">
        <is>
          <t>Yes</t>
        </is>
      </c>
      <c r="E51" s="9" t="inlineStr">
        <is>
          <t>Head of Platform</t>
        </is>
      </c>
      <c r="F51" s="9" t="inlineStr">
        <is>
          <t>not_started</t>
        </is>
      </c>
      <c r="G51" s="9" t="inlineStr">
        <is>
          <t>verified</t>
        </is>
      </c>
      <c r="H51" s="9" t="inlineStr">
        <is>
          <t>partial</t>
        </is>
      </c>
      <c r="I51" s="9" t="inlineStr">
        <is>
          <t>not_started</t>
        </is>
      </c>
      <c r="J51" s="9" t="inlineStr">
        <is>
          <t>In progress</t>
        </is>
      </c>
      <c r="K51" s="9" t="n"/>
      <c r="L51" s="9" t="inlineStr">
        <is>
          <t>EV-012</t>
        </is>
      </c>
    </row>
    <row r="52">
      <c r="A52" s="9" t="inlineStr">
        <is>
          <t>A.6.2.7</t>
        </is>
      </c>
      <c r="B52" s="9" t="inlineStr">
        <is>
          <t>AI system technical documentation</t>
        </is>
      </c>
      <c r="C52" s="9" t="inlineStr">
        <is>
          <t>Annex A</t>
        </is>
      </c>
      <c r="D52" s="9" t="inlineStr">
        <is>
          <t>Yes</t>
        </is>
      </c>
      <c r="E52" s="9" t="inlineStr">
        <is>
          <t>Head of Platform</t>
        </is>
      </c>
      <c r="F52" s="9" t="inlineStr">
        <is>
          <t>not_started</t>
        </is>
      </c>
      <c r="G52" s="9" t="inlineStr">
        <is>
          <t>not_started</t>
        </is>
      </c>
      <c r="H52" s="9" t="inlineStr">
        <is>
          <t>not_started</t>
        </is>
      </c>
      <c r="I52" s="9" t="inlineStr">
        <is>
          <t>not_started</t>
        </is>
      </c>
      <c r="J52" s="9" t="inlineStr">
        <is>
          <t>Not started</t>
        </is>
      </c>
      <c r="K52" s="9" t="n"/>
      <c r="L52" s="9" t="n"/>
    </row>
    <row r="53">
      <c r="A53" s="9" t="inlineStr">
        <is>
          <t>A.6.2.8</t>
        </is>
      </c>
      <c r="B53" s="9" t="inlineStr">
        <is>
          <t>AI system recording of event logs</t>
        </is>
      </c>
      <c r="C53" s="9" t="inlineStr">
        <is>
          <t>Annex A</t>
        </is>
      </c>
      <c r="D53" s="9" t="inlineStr">
        <is>
          <t>Yes</t>
        </is>
      </c>
      <c r="E53" s="9" t="inlineStr">
        <is>
          <t>Head of Platform</t>
        </is>
      </c>
      <c r="F53" s="9" t="inlineStr">
        <is>
          <t>not_started</t>
        </is>
      </c>
      <c r="G53" s="9" t="inlineStr">
        <is>
          <t>verified</t>
        </is>
      </c>
      <c r="H53" s="9" t="inlineStr">
        <is>
          <t>partial</t>
        </is>
      </c>
      <c r="I53" s="9" t="inlineStr">
        <is>
          <t>not_started</t>
        </is>
      </c>
      <c r="J53" s="9" t="inlineStr">
        <is>
          <t>In progress</t>
        </is>
      </c>
      <c r="K53" s="9" t="n"/>
      <c r="L53" s="9" t="inlineStr">
        <is>
          <t>EV-019</t>
        </is>
      </c>
    </row>
    <row r="54">
      <c r="A54" s="9" t="inlineStr">
        <is>
          <t>A.7.2</t>
        </is>
      </c>
      <c r="B54" s="9" t="inlineStr">
        <is>
          <t>Data for development and enhancement of AI system</t>
        </is>
      </c>
      <c r="C54" s="9" t="inlineStr">
        <is>
          <t>Annex A</t>
        </is>
      </c>
      <c r="D54" s="9" t="inlineStr">
        <is>
          <t>Yes</t>
        </is>
      </c>
      <c r="E54" s="9" t="inlineStr">
        <is>
          <t>Security &amp; Compliance</t>
        </is>
      </c>
      <c r="F54" s="9" t="inlineStr">
        <is>
          <t>partial</t>
        </is>
      </c>
      <c r="G54" s="9" t="inlineStr">
        <is>
          <t>not_started</t>
        </is>
      </c>
      <c r="H54" s="9" t="inlineStr">
        <is>
          <t>not_started</t>
        </is>
      </c>
      <c r="I54" s="9" t="inlineStr">
        <is>
          <t>not_started</t>
        </is>
      </c>
      <c r="J54" s="9" t="inlineStr">
        <is>
          <t>In progress</t>
        </is>
      </c>
      <c r="K54" s="9" t="inlineStr">
        <is>
          <t>GAP-04</t>
        </is>
      </c>
      <c r="L54" s="9" t="inlineStr">
        <is>
          <t>EV-017</t>
        </is>
      </c>
    </row>
    <row r="55">
      <c r="A55" s="9" t="inlineStr">
        <is>
          <t>A.7.3</t>
        </is>
      </c>
      <c r="B55" s="9" t="inlineStr">
        <is>
          <t>Acquisition of data</t>
        </is>
      </c>
      <c r="C55" s="9" t="inlineStr">
        <is>
          <t>Annex A</t>
        </is>
      </c>
      <c r="D55" s="9" t="inlineStr">
        <is>
          <t>Yes</t>
        </is>
      </c>
      <c r="E55" s="9" t="inlineStr">
        <is>
          <t>Head of Platform</t>
        </is>
      </c>
      <c r="F55" s="9" t="inlineStr">
        <is>
          <t>not_started</t>
        </is>
      </c>
      <c r="G55" s="9" t="inlineStr">
        <is>
          <t>not_started</t>
        </is>
      </c>
      <c r="H55" s="9" t="inlineStr">
        <is>
          <t>not_started</t>
        </is>
      </c>
      <c r="I55" s="9" t="inlineStr">
        <is>
          <t>not_started</t>
        </is>
      </c>
      <c r="J55" s="9" t="inlineStr">
        <is>
          <t>Not started</t>
        </is>
      </c>
      <c r="K55" s="9" t="n"/>
      <c r="L55" s="9" t="n"/>
    </row>
    <row r="56">
      <c r="A56" s="9" t="inlineStr">
        <is>
          <t>A.7.4</t>
        </is>
      </c>
      <c r="B56" s="9" t="inlineStr">
        <is>
          <t>Quality of data for AI systems</t>
        </is>
      </c>
      <c r="C56" s="9" t="inlineStr">
        <is>
          <t>Annex A</t>
        </is>
      </c>
      <c r="D56" s="9" t="inlineStr">
        <is>
          <t>Yes</t>
        </is>
      </c>
      <c r="E56" s="9" t="inlineStr">
        <is>
          <t>Head of Platform</t>
        </is>
      </c>
      <c r="F56" s="9" t="inlineStr">
        <is>
          <t>not_started</t>
        </is>
      </c>
      <c r="G56" s="9" t="inlineStr">
        <is>
          <t>claimed</t>
        </is>
      </c>
      <c r="H56" s="9" t="inlineStr">
        <is>
          <t>not_started</t>
        </is>
      </c>
      <c r="I56" s="9" t="inlineStr">
        <is>
          <t>not_started</t>
        </is>
      </c>
      <c r="J56" s="9" t="inlineStr">
        <is>
          <t>Unverified claim</t>
        </is>
      </c>
      <c r="K56" s="9" t="inlineStr">
        <is>
          <t>GAP-04</t>
        </is>
      </c>
      <c r="L56" s="9" t="n"/>
    </row>
    <row r="57">
      <c r="A57" s="9" t="inlineStr">
        <is>
          <t>A.7.5</t>
        </is>
      </c>
      <c r="B57" s="9" t="inlineStr">
        <is>
          <t>Data provenance</t>
        </is>
      </c>
      <c r="C57" s="9" t="inlineStr">
        <is>
          <t>Annex A</t>
        </is>
      </c>
      <c r="D57" s="9" t="inlineStr">
        <is>
          <t>Yes</t>
        </is>
      </c>
      <c r="E57" s="9" t="inlineStr">
        <is>
          <t>Head of Platform</t>
        </is>
      </c>
      <c r="F57" s="9" t="inlineStr">
        <is>
          <t>claimed</t>
        </is>
      </c>
      <c r="G57" s="9" t="inlineStr">
        <is>
          <t>verified</t>
        </is>
      </c>
      <c r="H57" s="9" t="inlineStr">
        <is>
          <t>verified</t>
        </is>
      </c>
      <c r="I57" s="9" t="inlineStr">
        <is>
          <t>not_started</t>
        </is>
      </c>
      <c r="J57" s="9" t="inlineStr">
        <is>
          <t>In progress</t>
        </is>
      </c>
      <c r="K57" s="9" t="inlineStr">
        <is>
          <t>GAP-06</t>
        </is>
      </c>
      <c r="L57" s="9" t="inlineStr">
        <is>
          <t>EV-018</t>
        </is>
      </c>
    </row>
    <row r="58">
      <c r="A58" s="9" t="inlineStr">
        <is>
          <t>A.7.6</t>
        </is>
      </c>
      <c r="B58" s="9" t="inlineStr">
        <is>
          <t>Data preparation</t>
        </is>
      </c>
      <c r="C58" s="9" t="inlineStr">
        <is>
          <t>Annex A</t>
        </is>
      </c>
      <c r="D58" s="9" t="inlineStr">
        <is>
          <t>Yes</t>
        </is>
      </c>
      <c r="E58" s="9" t="inlineStr">
        <is>
          <t>Head of Platform</t>
        </is>
      </c>
      <c r="F58" s="9" t="inlineStr">
        <is>
          <t>not_started</t>
        </is>
      </c>
      <c r="G58" s="9" t="inlineStr">
        <is>
          <t>not_started</t>
        </is>
      </c>
      <c r="H58" s="9" t="inlineStr">
        <is>
          <t>not_started</t>
        </is>
      </c>
      <c r="I58" s="9" t="inlineStr">
        <is>
          <t>not_started</t>
        </is>
      </c>
      <c r="J58" s="9" t="inlineStr">
        <is>
          <t>Not started</t>
        </is>
      </c>
      <c r="K58" s="9" t="n"/>
      <c r="L58" s="9" t="n"/>
    </row>
    <row r="59">
      <c r="A59" s="9" t="inlineStr">
        <is>
          <t>A.8.2</t>
        </is>
      </c>
      <c r="B59" s="9" t="inlineStr">
        <is>
          <t>System documentation and information for users</t>
        </is>
      </c>
      <c r="C59" s="9" t="inlineStr">
        <is>
          <t>Annex A</t>
        </is>
      </c>
      <c r="D59" s="9" t="inlineStr">
        <is>
          <t>Yes</t>
        </is>
      </c>
      <c r="E59" s="9" t="inlineStr">
        <is>
          <t>Head of Platform</t>
        </is>
      </c>
      <c r="F59" s="9" t="inlineStr">
        <is>
          <t>not_started</t>
        </is>
      </c>
      <c r="G59" s="9" t="inlineStr">
        <is>
          <t>not_started</t>
        </is>
      </c>
      <c r="H59" s="9" t="inlineStr">
        <is>
          <t>not_started</t>
        </is>
      </c>
      <c r="I59" s="9" t="inlineStr">
        <is>
          <t>not_started</t>
        </is>
      </c>
      <c r="J59" s="9" t="inlineStr">
        <is>
          <t>Not started</t>
        </is>
      </c>
      <c r="K59" s="9" t="n"/>
      <c r="L59" s="9" t="n"/>
    </row>
    <row r="60">
      <c r="A60" s="9" t="inlineStr">
        <is>
          <t>A.8.3</t>
        </is>
      </c>
      <c r="B60" s="9" t="inlineStr">
        <is>
          <t>External reporting</t>
        </is>
      </c>
      <c r="C60" s="9" t="inlineStr">
        <is>
          <t>Annex A</t>
        </is>
      </c>
      <c r="D60" s="9" t="inlineStr">
        <is>
          <t>Yes</t>
        </is>
      </c>
      <c r="E60" s="9" t="inlineStr">
        <is>
          <t>Legal</t>
        </is>
      </c>
      <c r="F60" s="9" t="inlineStr">
        <is>
          <t>not_started</t>
        </is>
      </c>
      <c r="G60" s="9" t="inlineStr">
        <is>
          <t>not_started</t>
        </is>
      </c>
      <c r="H60" s="9" t="inlineStr">
        <is>
          <t>not_started</t>
        </is>
      </c>
      <c r="I60" s="9" t="inlineStr">
        <is>
          <t>not_started</t>
        </is>
      </c>
      <c r="J60" s="9" t="inlineStr">
        <is>
          <t>Not started</t>
        </is>
      </c>
      <c r="K60" s="9" t="inlineStr">
        <is>
          <t>GAP-12</t>
        </is>
      </c>
      <c r="L60" s="9" t="n"/>
    </row>
    <row r="61">
      <c r="A61" s="9" t="inlineStr">
        <is>
          <t>A.8.4</t>
        </is>
      </c>
      <c r="B61" s="9" t="inlineStr">
        <is>
          <t>Communication of incidents</t>
        </is>
      </c>
      <c r="C61" s="9" t="inlineStr">
        <is>
          <t>Annex A</t>
        </is>
      </c>
      <c r="D61" s="9" t="inlineStr">
        <is>
          <t>Yes</t>
        </is>
      </c>
      <c r="E61" s="9" t="inlineStr">
        <is>
          <t>Security &amp; Compliance</t>
        </is>
      </c>
      <c r="F61" s="9" t="inlineStr">
        <is>
          <t>partial</t>
        </is>
      </c>
      <c r="G61" s="9" t="inlineStr">
        <is>
          <t>partial</t>
        </is>
      </c>
      <c r="H61" s="9" t="inlineStr">
        <is>
          <t>not_started</t>
        </is>
      </c>
      <c r="I61" s="9" t="inlineStr">
        <is>
          <t>not_started</t>
        </is>
      </c>
      <c r="J61" s="9" t="inlineStr">
        <is>
          <t>In progress</t>
        </is>
      </c>
      <c r="K61" s="9" t="n"/>
      <c r="L61" s="9" t="inlineStr">
        <is>
          <t>EV-013, EV-014</t>
        </is>
      </c>
    </row>
    <row r="62">
      <c r="A62" s="9" t="inlineStr">
        <is>
          <t>A.8.5</t>
        </is>
      </c>
      <c r="B62" s="9" t="inlineStr">
        <is>
          <t>Information for interested parties</t>
        </is>
      </c>
      <c r="C62" s="9" t="inlineStr">
        <is>
          <t>Annex A</t>
        </is>
      </c>
      <c r="D62" s="9" t="inlineStr">
        <is>
          <t>Yes</t>
        </is>
      </c>
      <c r="E62" s="9" t="inlineStr">
        <is>
          <t>Legal</t>
        </is>
      </c>
      <c r="F62" s="9" t="inlineStr">
        <is>
          <t>not_started</t>
        </is>
      </c>
      <c r="G62" s="9" t="inlineStr">
        <is>
          <t>not_started</t>
        </is>
      </c>
      <c r="H62" s="9" t="inlineStr">
        <is>
          <t>not_started</t>
        </is>
      </c>
      <c r="I62" s="9" t="inlineStr">
        <is>
          <t>not_started</t>
        </is>
      </c>
      <c r="J62" s="9" t="inlineStr">
        <is>
          <t>Not started</t>
        </is>
      </c>
      <c r="K62" s="9" t="inlineStr">
        <is>
          <t>GAP-07</t>
        </is>
      </c>
      <c r="L62" s="9" t="n"/>
    </row>
    <row r="63">
      <c r="A63" s="9" t="inlineStr">
        <is>
          <t>A.9.2</t>
        </is>
      </c>
      <c r="B63" s="9" t="inlineStr">
        <is>
          <t>Processes for responsible use of AI systems</t>
        </is>
      </c>
      <c r="C63" s="9" t="inlineStr">
        <is>
          <t>Annex A</t>
        </is>
      </c>
      <c r="D63" s="9" t="inlineStr">
        <is>
          <t>Yes</t>
        </is>
      </c>
      <c r="E63" s="9" t="inlineStr">
        <is>
          <t>Security &amp; Compliance</t>
        </is>
      </c>
      <c r="F63" s="9" t="inlineStr">
        <is>
          <t>partial</t>
        </is>
      </c>
      <c r="G63" s="9" t="inlineStr">
        <is>
          <t>not_started</t>
        </is>
      </c>
      <c r="H63" s="9" t="inlineStr">
        <is>
          <t>not_started</t>
        </is>
      </c>
      <c r="I63" s="9" t="inlineStr">
        <is>
          <t>not_started</t>
        </is>
      </c>
      <c r="J63" s="9" t="inlineStr">
        <is>
          <t>In progress</t>
        </is>
      </c>
      <c r="K63" s="9" t="n"/>
      <c r="L63" s="9" t="inlineStr">
        <is>
          <t>EV-007</t>
        </is>
      </c>
    </row>
    <row r="64">
      <c r="A64" s="9" t="inlineStr">
        <is>
          <t>A.9.3</t>
        </is>
      </c>
      <c r="B64" s="9" t="inlineStr">
        <is>
          <t>Objectives for responsible use of AI system</t>
        </is>
      </c>
      <c r="C64" s="9" t="inlineStr">
        <is>
          <t>Annex A</t>
        </is>
      </c>
      <c r="D64" s="9" t="inlineStr">
        <is>
          <t>Yes</t>
        </is>
      </c>
      <c r="E64" s="9" t="inlineStr">
        <is>
          <t>Head of Responsible AI</t>
        </is>
      </c>
      <c r="F64" s="9" t="inlineStr">
        <is>
          <t>not_started</t>
        </is>
      </c>
      <c r="G64" s="9" t="inlineStr">
        <is>
          <t>not_started</t>
        </is>
      </c>
      <c r="H64" s="9" t="inlineStr">
        <is>
          <t>not_started</t>
        </is>
      </c>
      <c r="I64" s="9" t="inlineStr">
        <is>
          <t>not_started</t>
        </is>
      </c>
      <c r="J64" s="9" t="inlineStr">
        <is>
          <t>Not started</t>
        </is>
      </c>
      <c r="K64" s="9" t="n"/>
      <c r="L64" s="9" t="n"/>
    </row>
    <row r="65">
      <c r="A65" s="9" t="inlineStr">
        <is>
          <t>A.9.4</t>
        </is>
      </c>
      <c r="B65" s="9" t="inlineStr">
        <is>
          <t>Intended use of the AI system</t>
        </is>
      </c>
      <c r="C65" s="9" t="inlineStr">
        <is>
          <t>Annex A</t>
        </is>
      </c>
      <c r="D65" s="9" t="inlineStr">
        <is>
          <t>Yes</t>
        </is>
      </c>
      <c r="E65" s="9" t="inlineStr">
        <is>
          <t>Head of Platform</t>
        </is>
      </c>
      <c r="F65" s="9" t="inlineStr">
        <is>
          <t>not_started</t>
        </is>
      </c>
      <c r="G65" s="9" t="inlineStr">
        <is>
          <t>claimed</t>
        </is>
      </c>
      <c r="H65" s="9" t="inlineStr">
        <is>
          <t>not_started</t>
        </is>
      </c>
      <c r="I65" s="9" t="inlineStr">
        <is>
          <t>not_started</t>
        </is>
      </c>
      <c r="J65" s="9" t="inlineStr">
        <is>
          <t>Unverified claim</t>
        </is>
      </c>
      <c r="K65" s="9" t="inlineStr">
        <is>
          <t>GAP-06</t>
        </is>
      </c>
      <c r="L65" s="9" t="n"/>
    </row>
    <row r="66">
      <c r="A66" s="9" t="inlineStr">
        <is>
          <t>A.10.2</t>
        </is>
      </c>
      <c r="B66" s="9" t="inlineStr">
        <is>
          <t>Allocating responsibilities</t>
        </is>
      </c>
      <c r="C66" s="9" t="inlineStr">
        <is>
          <t>Annex A</t>
        </is>
      </c>
      <c r="D66" s="9" t="inlineStr">
        <is>
          <t>Yes</t>
        </is>
      </c>
      <c r="E66" s="9" t="inlineStr">
        <is>
          <t>Legal</t>
        </is>
      </c>
      <c r="F66" s="9" t="inlineStr">
        <is>
          <t>not_started</t>
        </is>
      </c>
      <c r="G66" s="9" t="inlineStr">
        <is>
          <t>not_started</t>
        </is>
      </c>
      <c r="H66" s="9" t="inlineStr">
        <is>
          <t>not_started</t>
        </is>
      </c>
      <c r="I66" s="9" t="inlineStr">
        <is>
          <t>not_started</t>
        </is>
      </c>
      <c r="J66" s="9" t="inlineStr">
        <is>
          <t>Not started</t>
        </is>
      </c>
      <c r="K66" s="9" t="inlineStr">
        <is>
          <t>GAP-05</t>
        </is>
      </c>
      <c r="L66" s="9" t="n"/>
    </row>
    <row r="67">
      <c r="A67" s="9" t="inlineStr">
        <is>
          <t>A.10.3</t>
        </is>
      </c>
      <c r="B67" s="9" t="inlineStr">
        <is>
          <t>Suppliers</t>
        </is>
      </c>
      <c r="C67" s="9" t="inlineStr">
        <is>
          <t>Annex A</t>
        </is>
      </c>
      <c r="D67" s="9" t="inlineStr">
        <is>
          <t>Yes</t>
        </is>
      </c>
      <c r="E67" s="9" t="inlineStr">
        <is>
          <t>Security &amp; Compliance</t>
        </is>
      </c>
      <c r="F67" s="9" t="inlineStr">
        <is>
          <t>partial</t>
        </is>
      </c>
      <c r="G67" s="9" t="inlineStr">
        <is>
          <t>not_started</t>
        </is>
      </c>
      <c r="H67" s="9" t="inlineStr">
        <is>
          <t>not_started</t>
        </is>
      </c>
      <c r="I67" s="9" t="inlineStr">
        <is>
          <t>not_started</t>
        </is>
      </c>
      <c r="J67" s="9" t="inlineStr">
        <is>
          <t>In progress</t>
        </is>
      </c>
      <c r="K67" s="9" t="inlineStr">
        <is>
          <t>GAP-05</t>
        </is>
      </c>
      <c r="L67" s="9" t="inlineStr">
        <is>
          <t>EV-015</t>
        </is>
      </c>
    </row>
    <row r="68">
      <c r="A68" s="9" t="inlineStr">
        <is>
          <t>A.10.4</t>
        </is>
      </c>
      <c r="B68" s="9" t="inlineStr">
        <is>
          <t>Customers</t>
        </is>
      </c>
      <c r="C68" s="9" t="inlineStr">
        <is>
          <t>Annex A</t>
        </is>
      </c>
      <c r="D68" s="9" t="inlineStr">
        <is>
          <t>Yes</t>
        </is>
      </c>
      <c r="E68" s="9" t="inlineStr">
        <is>
          <t>Legal</t>
        </is>
      </c>
      <c r="F68" s="9" t="inlineStr">
        <is>
          <t>not_started</t>
        </is>
      </c>
      <c r="G68" s="9" t="inlineStr">
        <is>
          <t>not_started</t>
        </is>
      </c>
      <c r="H68" s="9" t="inlineStr">
        <is>
          <t>not_started</t>
        </is>
      </c>
      <c r="I68" s="9" t="inlineStr">
        <is>
          <t>not_started</t>
        </is>
      </c>
      <c r="J68" s="9" t="inlineStr">
        <is>
          <t>Not started</t>
        </is>
      </c>
      <c r="K68" s="9" t="n"/>
      <c r="L68" s="9" t="n"/>
    </row>
  </sheetData>
  <autoFilter ref="A3:L68"/>
  <conditionalFormatting sqref="F4:F68">
    <cfRule type="cellIs" priority="1" operator="equal" dxfId="1">
      <formula>"verified"</formula>
    </cfRule>
    <cfRule type="cellIs" priority="2" operator="equal" dxfId="1">
      <formula>"pass"</formula>
    </cfRule>
    <cfRule type="cellIs" priority="3" operator="equal" dxfId="1">
      <formula>"Ready"</formula>
    </cfRule>
    <cfRule type="cellIs" priority="4" operator="equal" dxfId="1">
      <formula>"approved"</formula>
    </cfRule>
    <cfRule type="cellIs" priority="5" operator="equal" dxfId="1">
      <formula>"closed"</formula>
    </cfRule>
    <cfRule type="cellIs" priority="6" operator="equal" dxfId="1">
      <formula>"done"</formula>
    </cfRule>
    <cfRule type="cellIs" priority="7" operator="equal" dxfId="1">
      <formula>"current"</formula>
    </cfRule>
    <cfRule type="cellIs" priority="8" operator="equal" dxfId="2">
      <formula>"partial"</formula>
    </cfRule>
    <cfRule type="cellIs" priority="9" operator="equal" dxfId="2">
      <formula>"In progress"</formula>
    </cfRule>
    <cfRule type="cellIs" priority="10" operator="equal" dxfId="2">
      <formula>"in_review"</formula>
    </cfRule>
    <cfRule type="cellIs" priority="11" operator="equal" dxfId="2">
      <formula>"action_planned"</formula>
    </cfRule>
    <cfRule type="cellIs" priority="12" operator="equal" dxfId="2">
      <formula>"implemented"</formula>
    </cfRule>
    <cfRule type="cellIs" priority="13" operator="equal" dxfId="3">
      <formula>"claimed"</formula>
    </cfRule>
    <cfRule type="cellIs" priority="14" operator="equal" dxfId="3">
      <formula>"Unverified claim"</formula>
    </cfRule>
    <cfRule type="cellIs" priority="15" operator="equal" dxfId="3">
      <formula>"draft"</formula>
    </cfRule>
    <cfRule type="cellIs" priority="16" operator="equal" dxfId="2">
      <formula>"in_progress"</formula>
    </cfRule>
    <cfRule type="cellIs" priority="17" operator="equal" dxfId="4">
      <formula>"risk_accepted"</formula>
    </cfRule>
    <cfRule type="cellIs" priority="18" operator="equal" dxfId="0">
      <formula>"FAILING"</formula>
    </cfRule>
    <cfRule type="cellIs" priority="19" operator="equal" dxfId="0">
      <formula>"EXPIRED"</formula>
    </cfRule>
    <cfRule type="cellIs" priority="20" operator="equal" dxfId="0">
      <formula>"missing"</formula>
    </cfRule>
    <cfRule type="cellIs" priority="21" operator="equal" dxfId="5">
      <formula>"open"</formula>
    </cfRule>
    <cfRule type="cellIs" priority="22" operator="equal" dxfId="0">
      <formula>"overdue"</formula>
    </cfRule>
  </conditionalFormatting>
  <conditionalFormatting sqref="G4:G68">
    <cfRule type="cellIs" priority="23" operator="equal" dxfId="1">
      <formula>"verified"</formula>
    </cfRule>
    <cfRule type="cellIs" priority="24" operator="equal" dxfId="1">
      <formula>"pass"</formula>
    </cfRule>
    <cfRule type="cellIs" priority="25" operator="equal" dxfId="1">
      <formula>"Ready"</formula>
    </cfRule>
    <cfRule type="cellIs" priority="26" operator="equal" dxfId="1">
      <formula>"approved"</formula>
    </cfRule>
    <cfRule type="cellIs" priority="27" operator="equal" dxfId="1">
      <formula>"closed"</formula>
    </cfRule>
    <cfRule type="cellIs" priority="28" operator="equal" dxfId="1">
      <formula>"done"</formula>
    </cfRule>
    <cfRule type="cellIs" priority="29" operator="equal" dxfId="1">
      <formula>"current"</formula>
    </cfRule>
    <cfRule type="cellIs" priority="30" operator="equal" dxfId="2">
      <formula>"partial"</formula>
    </cfRule>
    <cfRule type="cellIs" priority="31" operator="equal" dxfId="2">
      <formula>"In progress"</formula>
    </cfRule>
    <cfRule type="cellIs" priority="32" operator="equal" dxfId="2">
      <formula>"in_review"</formula>
    </cfRule>
    <cfRule type="cellIs" priority="33" operator="equal" dxfId="2">
      <formula>"action_planned"</formula>
    </cfRule>
    <cfRule type="cellIs" priority="34" operator="equal" dxfId="2">
      <formula>"implemented"</formula>
    </cfRule>
    <cfRule type="cellIs" priority="35" operator="equal" dxfId="3">
      <formula>"claimed"</formula>
    </cfRule>
    <cfRule type="cellIs" priority="36" operator="equal" dxfId="3">
      <formula>"Unverified claim"</formula>
    </cfRule>
    <cfRule type="cellIs" priority="37" operator="equal" dxfId="3">
      <formula>"draft"</formula>
    </cfRule>
    <cfRule type="cellIs" priority="38" operator="equal" dxfId="2">
      <formula>"in_progress"</formula>
    </cfRule>
    <cfRule type="cellIs" priority="39" operator="equal" dxfId="4">
      <formula>"risk_accepted"</formula>
    </cfRule>
    <cfRule type="cellIs" priority="40" operator="equal" dxfId="0">
      <formula>"FAILING"</formula>
    </cfRule>
    <cfRule type="cellIs" priority="41" operator="equal" dxfId="0">
      <formula>"EXPIRED"</formula>
    </cfRule>
    <cfRule type="cellIs" priority="42" operator="equal" dxfId="0">
      <formula>"missing"</formula>
    </cfRule>
    <cfRule type="cellIs" priority="43" operator="equal" dxfId="5">
      <formula>"open"</formula>
    </cfRule>
    <cfRule type="cellIs" priority="44" operator="equal" dxfId="0">
      <formula>"overdue"</formula>
    </cfRule>
  </conditionalFormatting>
  <conditionalFormatting sqref="H4:H68">
    <cfRule type="cellIs" priority="45" operator="equal" dxfId="1">
      <formula>"verified"</formula>
    </cfRule>
    <cfRule type="cellIs" priority="46" operator="equal" dxfId="1">
      <formula>"pass"</formula>
    </cfRule>
    <cfRule type="cellIs" priority="47" operator="equal" dxfId="1">
      <formula>"Ready"</formula>
    </cfRule>
    <cfRule type="cellIs" priority="48" operator="equal" dxfId="1">
      <formula>"approved"</formula>
    </cfRule>
    <cfRule type="cellIs" priority="49" operator="equal" dxfId="1">
      <formula>"closed"</formula>
    </cfRule>
    <cfRule type="cellIs" priority="50" operator="equal" dxfId="1">
      <formula>"done"</formula>
    </cfRule>
    <cfRule type="cellIs" priority="51" operator="equal" dxfId="1">
      <formula>"current"</formula>
    </cfRule>
    <cfRule type="cellIs" priority="52" operator="equal" dxfId="2">
      <formula>"partial"</formula>
    </cfRule>
    <cfRule type="cellIs" priority="53" operator="equal" dxfId="2">
      <formula>"In progress"</formula>
    </cfRule>
    <cfRule type="cellIs" priority="54" operator="equal" dxfId="2">
      <formula>"in_review"</formula>
    </cfRule>
    <cfRule type="cellIs" priority="55" operator="equal" dxfId="2">
      <formula>"action_planned"</formula>
    </cfRule>
    <cfRule type="cellIs" priority="56" operator="equal" dxfId="2">
      <formula>"implemented"</formula>
    </cfRule>
    <cfRule type="cellIs" priority="57" operator="equal" dxfId="3">
      <formula>"claimed"</formula>
    </cfRule>
    <cfRule type="cellIs" priority="58" operator="equal" dxfId="3">
      <formula>"Unverified claim"</formula>
    </cfRule>
    <cfRule type="cellIs" priority="59" operator="equal" dxfId="3">
      <formula>"draft"</formula>
    </cfRule>
    <cfRule type="cellIs" priority="60" operator="equal" dxfId="2">
      <formula>"in_progress"</formula>
    </cfRule>
    <cfRule type="cellIs" priority="61" operator="equal" dxfId="4">
      <formula>"risk_accepted"</formula>
    </cfRule>
    <cfRule type="cellIs" priority="62" operator="equal" dxfId="0">
      <formula>"FAILING"</formula>
    </cfRule>
    <cfRule type="cellIs" priority="63" operator="equal" dxfId="0">
      <formula>"EXPIRED"</formula>
    </cfRule>
    <cfRule type="cellIs" priority="64" operator="equal" dxfId="0">
      <formula>"missing"</formula>
    </cfRule>
    <cfRule type="cellIs" priority="65" operator="equal" dxfId="5">
      <formula>"open"</formula>
    </cfRule>
    <cfRule type="cellIs" priority="66" operator="equal" dxfId="0">
      <formula>"overdue"</formula>
    </cfRule>
  </conditionalFormatting>
  <conditionalFormatting sqref="I4:I68">
    <cfRule type="cellIs" priority="67" operator="equal" dxfId="1">
      <formula>"verified"</formula>
    </cfRule>
    <cfRule type="cellIs" priority="68" operator="equal" dxfId="1">
      <formula>"pass"</formula>
    </cfRule>
    <cfRule type="cellIs" priority="69" operator="equal" dxfId="1">
      <formula>"Ready"</formula>
    </cfRule>
    <cfRule type="cellIs" priority="70" operator="equal" dxfId="1">
      <formula>"approved"</formula>
    </cfRule>
    <cfRule type="cellIs" priority="71" operator="equal" dxfId="1">
      <formula>"closed"</formula>
    </cfRule>
    <cfRule type="cellIs" priority="72" operator="equal" dxfId="1">
      <formula>"done"</formula>
    </cfRule>
    <cfRule type="cellIs" priority="73" operator="equal" dxfId="1">
      <formula>"current"</formula>
    </cfRule>
    <cfRule type="cellIs" priority="74" operator="equal" dxfId="2">
      <formula>"partial"</formula>
    </cfRule>
    <cfRule type="cellIs" priority="75" operator="equal" dxfId="2">
      <formula>"In progress"</formula>
    </cfRule>
    <cfRule type="cellIs" priority="76" operator="equal" dxfId="2">
      <formula>"in_review"</formula>
    </cfRule>
    <cfRule type="cellIs" priority="77" operator="equal" dxfId="2">
      <formula>"action_planned"</formula>
    </cfRule>
    <cfRule type="cellIs" priority="78" operator="equal" dxfId="2">
      <formula>"implemented"</formula>
    </cfRule>
    <cfRule type="cellIs" priority="79" operator="equal" dxfId="3">
      <formula>"claimed"</formula>
    </cfRule>
    <cfRule type="cellIs" priority="80" operator="equal" dxfId="3">
      <formula>"Unverified claim"</formula>
    </cfRule>
    <cfRule type="cellIs" priority="81" operator="equal" dxfId="3">
      <formula>"draft"</formula>
    </cfRule>
    <cfRule type="cellIs" priority="82" operator="equal" dxfId="2">
      <formula>"in_progress"</formula>
    </cfRule>
    <cfRule type="cellIs" priority="83" operator="equal" dxfId="4">
      <formula>"risk_accepted"</formula>
    </cfRule>
    <cfRule type="cellIs" priority="84" operator="equal" dxfId="0">
      <formula>"FAILING"</formula>
    </cfRule>
    <cfRule type="cellIs" priority="85" operator="equal" dxfId="0">
      <formula>"EXPIRED"</formula>
    </cfRule>
    <cfRule type="cellIs" priority="86" operator="equal" dxfId="0">
      <formula>"missing"</formula>
    </cfRule>
    <cfRule type="cellIs" priority="87" operator="equal" dxfId="5">
      <formula>"open"</formula>
    </cfRule>
    <cfRule type="cellIs" priority="88" operator="equal" dxfId="0">
      <formula>"overdue"</formula>
    </cfRule>
  </conditionalFormatting>
  <conditionalFormatting sqref="J4:J68">
    <cfRule type="cellIs" priority="89" operator="equal" dxfId="1">
      <formula>"verified"</formula>
    </cfRule>
    <cfRule type="cellIs" priority="90" operator="equal" dxfId="1">
      <formula>"pass"</formula>
    </cfRule>
    <cfRule type="cellIs" priority="91" operator="equal" dxfId="1">
      <formula>"Ready"</formula>
    </cfRule>
    <cfRule type="cellIs" priority="92" operator="equal" dxfId="1">
      <formula>"approved"</formula>
    </cfRule>
    <cfRule type="cellIs" priority="93" operator="equal" dxfId="1">
      <formula>"closed"</formula>
    </cfRule>
    <cfRule type="cellIs" priority="94" operator="equal" dxfId="1">
      <formula>"done"</formula>
    </cfRule>
    <cfRule type="cellIs" priority="95" operator="equal" dxfId="1">
      <formula>"current"</formula>
    </cfRule>
    <cfRule type="cellIs" priority="96" operator="equal" dxfId="2">
      <formula>"partial"</formula>
    </cfRule>
    <cfRule type="cellIs" priority="97" operator="equal" dxfId="2">
      <formula>"In progress"</formula>
    </cfRule>
    <cfRule type="cellIs" priority="98" operator="equal" dxfId="2">
      <formula>"in_review"</formula>
    </cfRule>
    <cfRule type="cellIs" priority="99" operator="equal" dxfId="2">
      <formula>"action_planned"</formula>
    </cfRule>
    <cfRule type="cellIs" priority="100" operator="equal" dxfId="2">
      <formula>"implemented"</formula>
    </cfRule>
    <cfRule type="cellIs" priority="101" operator="equal" dxfId="3">
      <formula>"claimed"</formula>
    </cfRule>
    <cfRule type="cellIs" priority="102" operator="equal" dxfId="3">
      <formula>"Unverified claim"</formula>
    </cfRule>
    <cfRule type="cellIs" priority="103" operator="equal" dxfId="3">
      <formula>"draft"</formula>
    </cfRule>
    <cfRule type="cellIs" priority="104" operator="equal" dxfId="2">
      <formula>"in_progress"</formula>
    </cfRule>
    <cfRule type="cellIs" priority="105" operator="equal" dxfId="4">
      <formula>"risk_accepted"</formula>
    </cfRule>
    <cfRule type="cellIs" priority="106" operator="equal" dxfId="0">
      <formula>"FAILING"</formula>
    </cfRule>
    <cfRule type="cellIs" priority="107" operator="equal" dxfId="0">
      <formula>"EXPIRED"</formula>
    </cfRule>
    <cfRule type="cellIs" priority="108" operator="equal" dxfId="0">
      <formula>"missing"</formula>
    </cfRule>
    <cfRule type="cellIs" priority="109" operator="equal" dxfId="5">
      <formula>"open"</formula>
    </cfRule>
    <cfRule type="cellIs" priority="110" operator="equal" dxfId="0">
      <formula>"overdue"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11" customWidth="1" min="3" max="3"/>
    <col width="45" customWidth="1" min="4" max="4"/>
    <col width="55" customWidth="1" min="5" max="5"/>
    <col width="16" customWidth="1" min="6" max="6"/>
    <col width="24" customWidth="1" min="7" max="7"/>
  </cols>
  <sheetData>
    <row r="1">
      <c r="A1" s="2" t="inlineStr">
        <is>
          <t>(Example Client) · ISO 42001 · generated from the GRC record as of 2026-10-24. Read-only export: change the record through pull requests, not here.</t>
        </is>
      </c>
    </row>
    <row r="3">
      <c r="A3" s="8" t="inlineStr">
        <is>
          <t>Control</t>
        </is>
      </c>
      <c r="B3" s="8" t="inlineStr">
        <is>
          <t>Title</t>
        </is>
      </c>
      <c r="C3" s="8" t="inlineStr">
        <is>
          <t>Applicable</t>
        </is>
      </c>
      <c r="D3" s="8" t="inlineStr">
        <is>
          <t>Justification</t>
        </is>
      </c>
      <c r="E3" s="8" t="inlineStr">
        <is>
          <t>Implementation</t>
        </is>
      </c>
      <c r="F3" s="8" t="inlineStr">
        <is>
          <t>State</t>
        </is>
      </c>
      <c r="G3" s="8" t="inlineStr">
        <is>
          <t>Owner</t>
        </is>
      </c>
    </row>
    <row r="4">
      <c r="A4" s="9" t="inlineStr">
        <is>
          <t>A.2.2</t>
        </is>
      </c>
      <c r="B4" s="9" t="inlineStr">
        <is>
          <t>AI policy</t>
        </is>
      </c>
      <c r="C4" s="9" t="inlineStr">
        <is>
          <t>Yes</t>
        </is>
      </c>
      <c r="D4" s="9" t="inlineStr">
        <is>
          <t>Included: in scope for AI products built and provided by the Innovation and Platform teams.</t>
        </is>
      </c>
      <c r="E4" s="9" t="n"/>
      <c r="F4" s="9" t="inlineStr">
        <is>
          <t>Not started</t>
        </is>
      </c>
      <c r="G4" s="9" t="inlineStr">
        <is>
          <t>VP Engineering</t>
        </is>
      </c>
    </row>
    <row r="5">
      <c r="A5" s="9" t="inlineStr">
        <is>
          <t>A.2.3</t>
        </is>
      </c>
      <c r="B5" s="9" t="inlineStr">
        <is>
          <t>Alignment with other organizational policies</t>
        </is>
      </c>
      <c r="C5" s="9" t="inlineStr">
        <is>
          <t>Yes</t>
        </is>
      </c>
      <c r="D5" s="9" t="inlineStr">
        <is>
          <t>Included: in scope for AI products built and provided by the Innovation and Platform teams.</t>
        </is>
      </c>
      <c r="E5" s="9" t="n"/>
      <c r="F5" s="9" t="inlineStr">
        <is>
          <t>Not started</t>
        </is>
      </c>
      <c r="G5" s="9" t="inlineStr">
        <is>
          <t>Security &amp; Compliance</t>
        </is>
      </c>
    </row>
    <row r="6">
      <c r="A6" s="9" t="inlineStr">
        <is>
          <t>A.2.4</t>
        </is>
      </c>
      <c r="B6" s="9" t="inlineStr">
        <is>
          <t>Review of the AI policy</t>
        </is>
      </c>
      <c r="C6" s="9" t="inlineStr">
        <is>
          <t>Yes</t>
        </is>
      </c>
      <c r="D6" s="9" t="inlineStr">
        <is>
          <t>Included: in scope for AI products built and provided by the Innovation and Platform teams.</t>
        </is>
      </c>
      <c r="E6" s="9" t="n"/>
      <c r="F6" s="9" t="inlineStr">
        <is>
          <t>Not started</t>
        </is>
      </c>
      <c r="G6" s="9" t="inlineStr">
        <is>
          <t>Security &amp; Compliance</t>
        </is>
      </c>
    </row>
    <row r="7">
      <c r="A7" s="9" t="inlineStr">
        <is>
          <t>A.3.2</t>
        </is>
      </c>
      <c r="B7" s="9" t="inlineStr">
        <is>
          <t>AI roles and responsibilities</t>
        </is>
      </c>
      <c r="C7" s="9" t="inlineStr">
        <is>
          <t>Yes</t>
        </is>
      </c>
      <c r="D7" s="9" t="inlineStr">
        <is>
          <t>Included: in scope for AI products built and provided by the Innovation and Platform teams.</t>
        </is>
      </c>
      <c r="E7" s="9" t="n"/>
      <c r="F7" s="9" t="inlineStr">
        <is>
          <t>Unverified claim</t>
        </is>
      </c>
      <c r="G7" s="9" t="inlineStr">
        <is>
          <t>VP Engineering</t>
        </is>
      </c>
    </row>
    <row r="8">
      <c r="A8" s="9" t="inlineStr">
        <is>
          <t>A.3.3</t>
        </is>
      </c>
      <c r="B8" s="9" t="inlineStr">
        <is>
          <t>Reporting of concerns</t>
        </is>
      </c>
      <c r="C8" s="9" t="inlineStr">
        <is>
          <t>Yes</t>
        </is>
      </c>
      <c r="D8" s="9" t="inlineStr">
        <is>
          <t>Included: in scope for AI products built and provided by the Innovation and Platform teams.</t>
        </is>
      </c>
      <c r="E8" s="9" t="n"/>
      <c r="F8" s="9" t="inlineStr">
        <is>
          <t>Not started</t>
        </is>
      </c>
      <c r="G8" s="9" t="inlineStr">
        <is>
          <t>Legal</t>
        </is>
      </c>
    </row>
    <row r="9">
      <c r="A9" s="9" t="inlineStr">
        <is>
          <t>A.4.2</t>
        </is>
      </c>
      <c r="B9" s="9" t="inlineStr">
        <is>
          <t>Resource documentation</t>
        </is>
      </c>
      <c r="C9" s="9" t="inlineStr">
        <is>
          <t>Yes</t>
        </is>
      </c>
      <c r="D9" s="9" t="inlineStr">
        <is>
          <t>Included: in scope for AI products built and provided by the Innovation and Platform teams.</t>
        </is>
      </c>
      <c r="E9" s="9" t="inlineStr">
        <is>
          <t>AI systems inventory and model registry.</t>
        </is>
      </c>
      <c r="F9" s="9" t="inlineStr">
        <is>
          <t>In progress</t>
        </is>
      </c>
      <c r="G9" s="9" t="inlineStr">
        <is>
          <t>Head of Platform</t>
        </is>
      </c>
    </row>
    <row r="10">
      <c r="A10" s="9" t="inlineStr">
        <is>
          <t>A.4.3</t>
        </is>
      </c>
      <c r="B10" s="9" t="inlineStr">
        <is>
          <t>Data resources</t>
        </is>
      </c>
      <c r="C10" s="9" t="inlineStr">
        <is>
          <t>Yes</t>
        </is>
      </c>
      <c r="D10" s="9" t="inlineStr">
        <is>
          <t>Included: in scope for AI products built and provided by the Innovation and Platform teams.</t>
        </is>
      </c>
      <c r="E10" s="9" t="n"/>
      <c r="F10" s="9" t="inlineStr">
        <is>
          <t>Unverified claim</t>
        </is>
      </c>
      <c r="G10" s="9" t="inlineStr">
        <is>
          <t>Head of Platform</t>
        </is>
      </c>
    </row>
    <row r="11">
      <c r="A11" s="9" t="inlineStr">
        <is>
          <t>A.4.4</t>
        </is>
      </c>
      <c r="B11" s="9" t="inlineStr">
        <is>
          <t>Tooling resources</t>
        </is>
      </c>
      <c r="C11" s="9" t="inlineStr">
        <is>
          <t>Yes</t>
        </is>
      </c>
      <c r="D11" s="9" t="inlineStr">
        <is>
          <t>Included: in scope for AI products built and provided by the Innovation and Platform teams.</t>
        </is>
      </c>
      <c r="E11" s="9" t="inlineStr">
        <is>
          <t>9 SDLC AI tools listed in the inventory workbook.</t>
        </is>
      </c>
      <c r="F11" s="9" t="inlineStr">
        <is>
          <t>Unverified claim</t>
        </is>
      </c>
      <c r="G11" s="9" t="inlineStr">
        <is>
          <t>Head of Platform</t>
        </is>
      </c>
    </row>
    <row r="12">
      <c r="A12" s="9" t="inlineStr">
        <is>
          <t>A.4.5</t>
        </is>
      </c>
      <c r="B12" s="9" t="inlineStr">
        <is>
          <t>System and computing resources</t>
        </is>
      </c>
      <c r="C12" s="9" t="inlineStr">
        <is>
          <t>Yes</t>
        </is>
      </c>
      <c r="D12" s="9" t="inlineStr">
        <is>
          <t>Included: in scope for AI products built and provided by the Innovation and Platform teams.</t>
        </is>
      </c>
      <c r="E12" s="9" t="inlineStr">
        <is>
          <t>10 infrastructure services listed in the inventory workbook.</t>
        </is>
      </c>
      <c r="F12" s="9" t="inlineStr">
        <is>
          <t>Unverified claim</t>
        </is>
      </c>
      <c r="G12" s="9" t="inlineStr">
        <is>
          <t>Head of Platform</t>
        </is>
      </c>
    </row>
    <row r="13">
      <c r="A13" s="9" t="inlineStr">
        <is>
          <t>A.4.6</t>
        </is>
      </c>
      <c r="B13" s="9" t="inlineStr">
        <is>
          <t>Human resources</t>
        </is>
      </c>
      <c r="C13" s="9" t="inlineStr">
        <is>
          <t>Yes</t>
        </is>
      </c>
      <c r="D13" s="9" t="inlineStr">
        <is>
          <t>Included: in scope for AI products built and provided by the Innovation and Platform teams.</t>
        </is>
      </c>
      <c r="E13" s="9" t="n"/>
      <c r="F13" s="9" t="inlineStr">
        <is>
          <t>Not started</t>
        </is>
      </c>
      <c r="G13" s="9" t="inlineStr">
        <is>
          <t>People Operations</t>
        </is>
      </c>
    </row>
    <row r="14">
      <c r="A14" s="9" t="inlineStr">
        <is>
          <t>A.5.2</t>
        </is>
      </c>
      <c r="B14" s="9" t="inlineStr">
        <is>
          <t>AI system impact assessment process</t>
        </is>
      </c>
      <c r="C14" s="9" t="inlineStr">
        <is>
          <t>Yes</t>
        </is>
      </c>
      <c r="D14" s="9" t="inlineStr">
        <is>
          <t>Included: in scope for AI products built and provided by the Innovation and Platform teams.</t>
        </is>
      </c>
      <c r="E14" s="9" t="n"/>
      <c r="F14" s="9" t="inlineStr">
        <is>
          <t>Not started</t>
        </is>
      </c>
      <c r="G14" s="9" t="inlineStr">
        <is>
          <t>Head of Responsible AI</t>
        </is>
      </c>
    </row>
    <row r="15">
      <c r="A15" s="9" t="inlineStr">
        <is>
          <t>A.5.3</t>
        </is>
      </c>
      <c r="B15" s="9" t="inlineStr">
        <is>
          <t>Documentation of AI system impact assessments</t>
        </is>
      </c>
      <c r="C15" s="9" t="inlineStr">
        <is>
          <t>Yes</t>
        </is>
      </c>
      <c r="D15" s="9" t="inlineStr">
        <is>
          <t>Included: in scope for AI products built and provided by the Innovation and Platform teams.</t>
        </is>
      </c>
      <c r="E15" s="9" t="n"/>
      <c r="F15" s="9" t="inlineStr">
        <is>
          <t>Not started</t>
        </is>
      </c>
      <c r="G15" s="9" t="inlineStr">
        <is>
          <t>Head of Responsible AI</t>
        </is>
      </c>
    </row>
    <row r="16">
      <c r="A16" s="9" t="inlineStr">
        <is>
          <t>A.5.4</t>
        </is>
      </c>
      <c r="B16" s="9" t="inlineStr">
        <is>
          <t>Assessing AI system impact on individuals or groups of individuals</t>
        </is>
      </c>
      <c r="C16" s="9" t="inlineStr">
        <is>
          <t>Yes</t>
        </is>
      </c>
      <c r="D16" s="9" t="inlineStr">
        <is>
          <t>Included: in scope for AI products built and provided by the Innovation and Platform teams.</t>
        </is>
      </c>
      <c r="E16" s="9" t="n"/>
      <c r="F16" s="9" t="inlineStr">
        <is>
          <t>Not started</t>
        </is>
      </c>
      <c r="G16" s="9" t="inlineStr">
        <is>
          <t>Head of Responsible AI</t>
        </is>
      </c>
    </row>
    <row r="17">
      <c r="A17" s="9" t="inlineStr">
        <is>
          <t>A.5.5</t>
        </is>
      </c>
      <c r="B17" s="9" t="inlineStr">
        <is>
          <t>Assessing societal impacts of AI systems</t>
        </is>
      </c>
      <c r="C17" s="9" t="inlineStr">
        <is>
          <t>Yes</t>
        </is>
      </c>
      <c r="D17" s="9" t="inlineStr">
        <is>
          <t>Included: in scope for AI products built and provided by the Innovation and Platform teams.</t>
        </is>
      </c>
      <c r="E17" s="9" t="n"/>
      <c r="F17" s="9" t="inlineStr">
        <is>
          <t>Not started</t>
        </is>
      </c>
      <c r="G17" s="9" t="inlineStr">
        <is>
          <t>Head of Responsible AI</t>
        </is>
      </c>
    </row>
    <row r="18">
      <c r="A18" s="9" t="inlineStr">
        <is>
          <t>A.6.1.2</t>
        </is>
      </c>
      <c r="B18" s="9" t="inlineStr">
        <is>
          <t>Objectives for responsible development of AI system</t>
        </is>
      </c>
      <c r="C18" s="9" t="inlineStr">
        <is>
          <t>Yes</t>
        </is>
      </c>
      <c r="D18" s="9" t="inlineStr">
        <is>
          <t>Included: in scope for AI products built and provided by the Innovation and Platform teams.</t>
        </is>
      </c>
      <c r="E18" s="9" t="inlineStr">
        <is>
          <t>Responsible AI Principles serve as development objectives.</t>
        </is>
      </c>
      <c r="F18" s="9" t="inlineStr">
        <is>
          <t>In progress</t>
        </is>
      </c>
      <c r="G18" s="9" t="inlineStr">
        <is>
          <t>Head of Responsible AI</t>
        </is>
      </c>
    </row>
    <row r="19">
      <c r="A19" s="9" t="inlineStr">
        <is>
          <t>A.6.1.3</t>
        </is>
      </c>
      <c r="B19" s="9" t="inlineStr">
        <is>
          <t>Processes for responsible AI system design and development</t>
        </is>
      </c>
      <c r="C19" s="9" t="inlineStr">
        <is>
          <t>Yes</t>
        </is>
      </c>
      <c r="D19" s="9" t="inlineStr">
        <is>
          <t>Included: in scope for AI products built and provided by the Innovation and Platform teams.</t>
        </is>
      </c>
      <c r="E19" s="9" t="inlineStr">
        <is>
          <t>AI SDLC procedure drafted from existing engineering practice.</t>
        </is>
      </c>
      <c r="F19" s="9" t="inlineStr">
        <is>
          <t>In progress</t>
        </is>
      </c>
      <c r="G19" s="9" t="inlineStr">
        <is>
          <t>Head of Platform</t>
        </is>
      </c>
    </row>
    <row r="20">
      <c r="A20" s="9" t="inlineStr">
        <is>
          <t>A.6.2.2</t>
        </is>
      </c>
      <c r="B20" s="9" t="inlineStr">
        <is>
          <t>AI system requirements and specification</t>
        </is>
      </c>
      <c r="C20" s="9" t="inlineStr">
        <is>
          <t>Yes</t>
        </is>
      </c>
      <c r="D20" s="9" t="inlineStr">
        <is>
          <t>Included: in scope for AI products built and provided by the Innovation and Platform teams.</t>
        </is>
      </c>
      <c r="E20" s="9" t="n"/>
      <c r="F20" s="9" t="inlineStr">
        <is>
          <t>Unverified claim</t>
        </is>
      </c>
      <c r="G20" s="9" t="inlineStr">
        <is>
          <t>Head of Platform</t>
        </is>
      </c>
    </row>
    <row r="21">
      <c r="A21" s="9" t="inlineStr">
        <is>
          <t>A.6.2.3</t>
        </is>
      </c>
      <c r="B21" s="9" t="inlineStr">
        <is>
          <t>Documentation of AI system design and development</t>
        </is>
      </c>
      <c r="C21" s="9" t="inlineStr">
        <is>
          <t>Yes</t>
        </is>
      </c>
      <c r="D21" s="9" t="inlineStr">
        <is>
          <t>Included: in scope for AI products built and provided by the Innovation and Platform teams.</t>
        </is>
      </c>
      <c r="E21" s="9" t="n"/>
      <c r="F21" s="9" t="inlineStr">
        <is>
          <t>Unverified claim</t>
        </is>
      </c>
      <c r="G21" s="9" t="inlineStr">
        <is>
          <t>Head of Platform</t>
        </is>
      </c>
    </row>
    <row r="22">
      <c r="A22" s="9" t="inlineStr">
        <is>
          <t>A.6.2.4</t>
        </is>
      </c>
      <c r="B22" s="9" t="inlineStr">
        <is>
          <t>AI system verification and validation</t>
        </is>
      </c>
      <c r="C22" s="9" t="inlineStr">
        <is>
          <t>Yes</t>
        </is>
      </c>
      <c r="D22" s="9" t="inlineStr">
        <is>
          <t>Included: in scope for AI products built and provided by the Innovation and Platform teams.</t>
        </is>
      </c>
      <c r="E22" s="9" t="inlineStr">
        <is>
          <t>CI gate blocks release unless evaluation metrics meet thresholds.</t>
        </is>
      </c>
      <c r="F22" s="9" t="inlineStr">
        <is>
          <t>In progress</t>
        </is>
      </c>
      <c r="G22" s="9" t="inlineStr">
        <is>
          <t>Head of Platform</t>
        </is>
      </c>
    </row>
    <row r="23">
      <c r="A23" s="9" t="inlineStr">
        <is>
          <t>A.6.2.5</t>
        </is>
      </c>
      <c r="B23" s="9" t="inlineStr">
        <is>
          <t>AI system deployment</t>
        </is>
      </c>
      <c r="C23" s="9" t="inlineStr">
        <is>
          <t>Yes</t>
        </is>
      </c>
      <c r="D23" s="9" t="inlineStr">
        <is>
          <t>Included: in scope for AI products built and provided by the Innovation and Platform teams.</t>
        </is>
      </c>
      <c r="E23" s="9" t="inlineStr">
        <is>
          <t>Production promotion requires an approved PR and passing gate.</t>
        </is>
      </c>
      <c r="F23" s="9" t="inlineStr">
        <is>
          <t>In progress</t>
        </is>
      </c>
      <c r="G23" s="9" t="inlineStr">
        <is>
          <t>Head of Platform</t>
        </is>
      </c>
    </row>
    <row r="24">
      <c r="A24" s="9" t="inlineStr">
        <is>
          <t>A.6.2.6</t>
        </is>
      </c>
      <c r="B24" s="9" t="inlineStr">
        <is>
          <t>AI system operation and monitoring</t>
        </is>
      </c>
      <c r="C24" s="9" t="inlineStr">
        <is>
          <t>Yes</t>
        </is>
      </c>
      <c r="D24" s="9" t="inlineStr">
        <is>
          <t>Included: in scope for AI products built and provided by the Innovation and Platform teams.</t>
        </is>
      </c>
      <c r="E24" s="9" t="inlineStr">
        <is>
          <t>Production telemetry for drift and error rates.</t>
        </is>
      </c>
      <c r="F24" s="9" t="inlineStr">
        <is>
          <t>In progress</t>
        </is>
      </c>
      <c r="G24" s="9" t="inlineStr">
        <is>
          <t>Head of Platform</t>
        </is>
      </c>
    </row>
    <row r="25">
      <c r="A25" s="9" t="inlineStr">
        <is>
          <t>A.6.2.7</t>
        </is>
      </c>
      <c r="B25" s="9" t="inlineStr">
        <is>
          <t>AI system technical documentation</t>
        </is>
      </c>
      <c r="C25" s="9" t="inlineStr">
        <is>
          <t>Yes</t>
        </is>
      </c>
      <c r="D25" s="9" t="inlineStr">
        <is>
          <t>Included: in scope for AI products built and provided by the Innovation and Platform teams.</t>
        </is>
      </c>
      <c r="E25" s="9" t="n"/>
      <c r="F25" s="9" t="inlineStr">
        <is>
          <t>Not started</t>
        </is>
      </c>
      <c r="G25" s="9" t="inlineStr">
        <is>
          <t>Head of Platform</t>
        </is>
      </c>
    </row>
    <row r="26">
      <c r="A26" s="9" t="inlineStr">
        <is>
          <t>A.6.2.8</t>
        </is>
      </c>
      <c r="B26" s="9" t="inlineStr">
        <is>
          <t>AI system recording of event logs</t>
        </is>
      </c>
      <c r="C26" s="9" t="inlineStr">
        <is>
          <t>Yes</t>
        </is>
      </c>
      <c r="D26" s="9" t="inlineStr">
        <is>
          <t>Included: in scope for AI products built and provided by the Innovation and Platform teams.</t>
        </is>
      </c>
      <c r="E26" s="9" t="inlineStr">
        <is>
          <t>Event logging configured for AI services in Terraform.</t>
        </is>
      </c>
      <c r="F26" s="9" t="inlineStr">
        <is>
          <t>In progress</t>
        </is>
      </c>
      <c r="G26" s="9" t="inlineStr">
        <is>
          <t>Head of Platform</t>
        </is>
      </c>
    </row>
    <row r="27">
      <c r="A27" s="9" t="inlineStr">
        <is>
          <t>A.7.2</t>
        </is>
      </c>
      <c r="B27" s="9" t="inlineStr">
        <is>
          <t>Data for development and enhancement of AI system</t>
        </is>
      </c>
      <c r="C27" s="9" t="inlineStr">
        <is>
          <t>Yes</t>
        </is>
      </c>
      <c r="D27" s="9" t="inlineStr">
        <is>
          <t>Included: in scope for AI products built and provided by the Innovation and Platform teams.</t>
        </is>
      </c>
      <c r="E27" s="9" t="n"/>
      <c r="F27" s="9" t="inlineStr">
        <is>
          <t>In progress</t>
        </is>
      </c>
      <c r="G27" s="9" t="inlineStr">
        <is>
          <t>Security &amp; Compliance</t>
        </is>
      </c>
    </row>
    <row r="28">
      <c r="A28" s="9" t="inlineStr">
        <is>
          <t>A.7.3</t>
        </is>
      </c>
      <c r="B28" s="9" t="inlineStr">
        <is>
          <t>Acquisition of data</t>
        </is>
      </c>
      <c r="C28" s="9" t="inlineStr">
        <is>
          <t>Yes</t>
        </is>
      </c>
      <c r="D28" s="9" t="inlineStr">
        <is>
          <t>Included: the Platform team acquires third-party and customer data for model development.</t>
        </is>
      </c>
      <c r="E28" s="9" t="n"/>
      <c r="F28" s="9" t="inlineStr">
        <is>
          <t>Not started</t>
        </is>
      </c>
      <c r="G28" s="9" t="inlineStr">
        <is>
          <t>Head of Platform</t>
        </is>
      </c>
    </row>
    <row r="29">
      <c r="A29" s="9" t="inlineStr">
        <is>
          <t>A.7.4</t>
        </is>
      </c>
      <c r="B29" s="9" t="inlineStr">
        <is>
          <t>Quality of data for AI systems</t>
        </is>
      </c>
      <c r="C29" s="9" t="inlineStr">
        <is>
          <t>Yes</t>
        </is>
      </c>
      <c r="D29" s="9" t="inlineStr">
        <is>
          <t>Included: in scope for AI products built and provided by the Innovation and Platform teams.</t>
        </is>
      </c>
      <c r="E29" s="9" t="n"/>
      <c r="F29" s="9" t="inlineStr">
        <is>
          <t>Unverified claim</t>
        </is>
      </c>
      <c r="G29" s="9" t="inlineStr">
        <is>
          <t>Head of Platform</t>
        </is>
      </c>
    </row>
    <row r="30">
      <c r="A30" s="9" t="inlineStr">
        <is>
          <t>A.7.5</t>
        </is>
      </c>
      <c r="B30" s="9" t="inlineStr">
        <is>
          <t>Data provenance</t>
        </is>
      </c>
      <c r="C30" s="9" t="inlineStr">
        <is>
          <t>Yes</t>
        </is>
      </c>
      <c r="D30" s="9" t="inlineStr">
        <is>
          <t>Included: in scope for AI products built and provided by the Innovation and Platform teams.</t>
        </is>
      </c>
      <c r="E30" s="9" t="inlineStr">
        <is>
          <t>Datasets and checkpoints hashed at ingest; manifests stored with artifacts.</t>
        </is>
      </c>
      <c r="F30" s="9" t="inlineStr">
        <is>
          <t>In progress</t>
        </is>
      </c>
      <c r="G30" s="9" t="inlineStr">
        <is>
          <t>Head of Platform</t>
        </is>
      </c>
    </row>
    <row r="31">
      <c r="A31" s="9" t="inlineStr">
        <is>
          <t>A.7.6</t>
        </is>
      </c>
      <c r="B31" s="9" t="inlineStr">
        <is>
          <t>Data preparation</t>
        </is>
      </c>
      <c r="C31" s="9" t="inlineStr">
        <is>
          <t>Yes</t>
        </is>
      </c>
      <c r="D31" s="9" t="inlineStr">
        <is>
          <t>Included: in scope for AI products built and provided by the Innovation and Platform teams.</t>
        </is>
      </c>
      <c r="E31" s="9" t="n"/>
      <c r="F31" s="9" t="inlineStr">
        <is>
          <t>Not started</t>
        </is>
      </c>
      <c r="G31" s="9" t="inlineStr">
        <is>
          <t>Head of Platform</t>
        </is>
      </c>
    </row>
    <row r="32">
      <c r="A32" s="9" t="inlineStr">
        <is>
          <t>A.8.2</t>
        </is>
      </c>
      <c r="B32" s="9" t="inlineStr">
        <is>
          <t>System documentation and information for users</t>
        </is>
      </c>
      <c r="C32" s="9" t="inlineStr">
        <is>
          <t>Yes</t>
        </is>
      </c>
      <c r="D32" s="9" t="inlineStr">
        <is>
          <t>Included: in scope for AI products built and provided by the Innovation and Platform teams.</t>
        </is>
      </c>
      <c r="E32" s="9" t="n"/>
      <c r="F32" s="9" t="inlineStr">
        <is>
          <t>Not started</t>
        </is>
      </c>
      <c r="G32" s="9" t="inlineStr">
        <is>
          <t>Head of Platform</t>
        </is>
      </c>
    </row>
    <row r="33">
      <c r="A33" s="9" t="inlineStr">
        <is>
          <t>A.8.3</t>
        </is>
      </c>
      <c r="B33" s="9" t="inlineStr">
        <is>
          <t>External reporting</t>
        </is>
      </c>
      <c r="C33" s="9" t="inlineStr">
        <is>
          <t>Yes</t>
        </is>
      </c>
      <c r="D33" s="9" t="inlineStr">
        <is>
          <t>Included: in scope for AI products built and provided by the Innovation and Platform teams.</t>
        </is>
      </c>
      <c r="E33" s="9" t="n"/>
      <c r="F33" s="9" t="inlineStr">
        <is>
          <t>Not started</t>
        </is>
      </c>
      <c r="G33" s="9" t="inlineStr">
        <is>
          <t>Legal</t>
        </is>
      </c>
    </row>
    <row r="34">
      <c r="A34" s="9" t="inlineStr">
        <is>
          <t>A.8.4</t>
        </is>
      </c>
      <c r="B34" s="9" t="inlineStr">
        <is>
          <t>Communication of incidents</t>
        </is>
      </c>
      <c r="C34" s="9" t="inlineStr">
        <is>
          <t>Yes</t>
        </is>
      </c>
      <c r="D34" s="9" t="inlineStr">
        <is>
          <t>Included: in scope for AI products built and provided by the Innovation and Platform teams.</t>
        </is>
      </c>
      <c r="E34" s="9" t="inlineStr">
        <is>
          <t>SOC 2 incident process includes customer notification.</t>
        </is>
      </c>
      <c r="F34" s="9" t="inlineStr">
        <is>
          <t>In progress</t>
        </is>
      </c>
      <c r="G34" s="9" t="inlineStr">
        <is>
          <t>Security &amp; Compliance</t>
        </is>
      </c>
    </row>
    <row r="35">
      <c r="A35" s="9" t="inlineStr">
        <is>
          <t>A.8.5</t>
        </is>
      </c>
      <c r="B35" s="9" t="inlineStr">
        <is>
          <t>Information for interested parties</t>
        </is>
      </c>
      <c r="C35" s="9" t="inlineStr">
        <is>
          <t>Yes</t>
        </is>
      </c>
      <c r="D35" s="9" t="inlineStr">
        <is>
          <t>Included: in scope for AI products built and provided by the Innovation and Platform teams.</t>
        </is>
      </c>
      <c r="E35" s="9" t="n"/>
      <c r="F35" s="9" t="inlineStr">
        <is>
          <t>Not started</t>
        </is>
      </c>
      <c r="G35" s="9" t="inlineStr">
        <is>
          <t>Legal</t>
        </is>
      </c>
    </row>
    <row r="36">
      <c r="A36" s="9" t="inlineStr">
        <is>
          <t>A.9.2</t>
        </is>
      </c>
      <c r="B36" s="9" t="inlineStr">
        <is>
          <t>Processes for responsible use of AI systems</t>
        </is>
      </c>
      <c r="C36" s="9" t="inlineStr">
        <is>
          <t>Yes</t>
        </is>
      </c>
      <c r="D36" s="9" t="inlineStr">
        <is>
          <t>Included: in scope for AI products built and provided by the Innovation and Platform teams.</t>
        </is>
      </c>
      <c r="E36" s="9" t="inlineStr">
        <is>
          <t>Company AI Use Policy covers end-user use; producer-side use not addressed.</t>
        </is>
      </c>
      <c r="F36" s="9" t="inlineStr">
        <is>
          <t>In progress</t>
        </is>
      </c>
      <c r="G36" s="9" t="inlineStr">
        <is>
          <t>Security &amp; Compliance</t>
        </is>
      </c>
    </row>
    <row r="37">
      <c r="A37" s="9" t="inlineStr">
        <is>
          <t>A.9.3</t>
        </is>
      </c>
      <c r="B37" s="9" t="inlineStr">
        <is>
          <t>Objectives for responsible use of AI system</t>
        </is>
      </c>
      <c r="C37" s="9" t="inlineStr">
        <is>
          <t>Yes</t>
        </is>
      </c>
      <c r="D37" s="9" t="inlineStr">
        <is>
          <t>Included: in scope for AI products built and provided by the Innovation and Platform teams.</t>
        </is>
      </c>
      <c r="E37" s="9" t="n"/>
      <c r="F37" s="9" t="inlineStr">
        <is>
          <t>Not started</t>
        </is>
      </c>
      <c r="G37" s="9" t="inlineStr">
        <is>
          <t>Head of Responsible AI</t>
        </is>
      </c>
    </row>
    <row r="38">
      <c r="A38" s="9" t="inlineStr">
        <is>
          <t>A.9.4</t>
        </is>
      </c>
      <c r="B38" s="9" t="inlineStr">
        <is>
          <t>Intended use of the AI system</t>
        </is>
      </c>
      <c r="C38" s="9" t="inlineStr">
        <is>
          <t>Yes</t>
        </is>
      </c>
      <c r="D38" s="9" t="inlineStr">
        <is>
          <t>Included: in scope for AI products built and provided by the Innovation and Platform teams.</t>
        </is>
      </c>
      <c r="E38" s="9" t="inlineStr">
        <is>
          <t>Agent authority limits enforced in configuration.</t>
        </is>
      </c>
      <c r="F38" s="9" t="inlineStr">
        <is>
          <t>Unverified claim</t>
        </is>
      </c>
      <c r="G38" s="9" t="inlineStr">
        <is>
          <t>Head of Platform</t>
        </is>
      </c>
    </row>
    <row r="39">
      <c r="A39" s="9" t="inlineStr">
        <is>
          <t>A.10.2</t>
        </is>
      </c>
      <c r="B39" s="9" t="inlineStr">
        <is>
          <t>Allocating responsibilities</t>
        </is>
      </c>
      <c r="C39" s="9" t="inlineStr">
        <is>
          <t>Yes</t>
        </is>
      </c>
      <c r="D39" s="9" t="inlineStr">
        <is>
          <t>Included: in scope for AI products built and provided by the Innovation and Platform teams.</t>
        </is>
      </c>
      <c r="E39" s="9" t="n"/>
      <c r="F39" s="9" t="inlineStr">
        <is>
          <t>Not started</t>
        </is>
      </c>
      <c r="G39" s="9" t="inlineStr">
        <is>
          <t>Legal</t>
        </is>
      </c>
    </row>
    <row r="40">
      <c r="A40" s="9" t="inlineStr">
        <is>
          <t>A.10.3</t>
        </is>
      </c>
      <c r="B40" s="9" t="inlineStr">
        <is>
          <t>Suppliers</t>
        </is>
      </c>
      <c r="C40" s="9" t="inlineStr">
        <is>
          <t>Yes</t>
        </is>
      </c>
      <c r="D40" s="9" t="inlineStr">
        <is>
          <t>Included: in scope for AI products built and provided by the Innovation and Platform teams.</t>
        </is>
      </c>
      <c r="E40" s="9" t="inlineStr">
        <is>
          <t>SOC 2 vendor program exists; AI suppliers not yet reviewed through it.</t>
        </is>
      </c>
      <c r="F40" s="9" t="inlineStr">
        <is>
          <t>In progress</t>
        </is>
      </c>
      <c r="G40" s="9" t="inlineStr">
        <is>
          <t>Security &amp; Compliance</t>
        </is>
      </c>
    </row>
    <row r="41">
      <c r="A41" s="9" t="inlineStr">
        <is>
          <t>A.10.4</t>
        </is>
      </c>
      <c r="B41" s="9" t="inlineStr">
        <is>
          <t>Customers</t>
        </is>
      </c>
      <c r="C41" s="9" t="inlineStr">
        <is>
          <t>Yes</t>
        </is>
      </c>
      <c r="D41" s="9" t="inlineStr">
        <is>
          <t>Included: AI products are delivered to government customers with contractual AI requirements.</t>
        </is>
      </c>
      <c r="E41" s="9" t="n"/>
      <c r="F41" s="9" t="inlineStr">
        <is>
          <t>Not started</t>
        </is>
      </c>
      <c r="G41" s="9" t="inlineStr">
        <is>
          <t>Legal</t>
        </is>
      </c>
    </row>
  </sheetData>
  <autoFilter ref="A3:G41"/>
  <conditionalFormatting sqref="F4:F41">
    <cfRule type="cellIs" priority="1" operator="equal" dxfId="1">
      <formula>"verified"</formula>
    </cfRule>
    <cfRule type="cellIs" priority="2" operator="equal" dxfId="1">
      <formula>"pass"</formula>
    </cfRule>
    <cfRule type="cellIs" priority="3" operator="equal" dxfId="1">
      <formula>"Ready"</formula>
    </cfRule>
    <cfRule type="cellIs" priority="4" operator="equal" dxfId="1">
      <formula>"approved"</formula>
    </cfRule>
    <cfRule type="cellIs" priority="5" operator="equal" dxfId="1">
      <formula>"closed"</formula>
    </cfRule>
    <cfRule type="cellIs" priority="6" operator="equal" dxfId="1">
      <formula>"done"</formula>
    </cfRule>
    <cfRule type="cellIs" priority="7" operator="equal" dxfId="1">
      <formula>"current"</formula>
    </cfRule>
    <cfRule type="cellIs" priority="8" operator="equal" dxfId="2">
      <formula>"partial"</formula>
    </cfRule>
    <cfRule type="cellIs" priority="9" operator="equal" dxfId="2">
      <formula>"In progress"</formula>
    </cfRule>
    <cfRule type="cellIs" priority="10" operator="equal" dxfId="2">
      <formula>"in_review"</formula>
    </cfRule>
    <cfRule type="cellIs" priority="11" operator="equal" dxfId="2">
      <formula>"action_planned"</formula>
    </cfRule>
    <cfRule type="cellIs" priority="12" operator="equal" dxfId="2">
      <formula>"implemented"</formula>
    </cfRule>
    <cfRule type="cellIs" priority="13" operator="equal" dxfId="3">
      <formula>"claimed"</formula>
    </cfRule>
    <cfRule type="cellIs" priority="14" operator="equal" dxfId="3">
      <formula>"Unverified claim"</formula>
    </cfRule>
    <cfRule type="cellIs" priority="15" operator="equal" dxfId="3">
      <formula>"draft"</formula>
    </cfRule>
    <cfRule type="cellIs" priority="16" operator="equal" dxfId="2">
      <formula>"in_progress"</formula>
    </cfRule>
    <cfRule type="cellIs" priority="17" operator="equal" dxfId="4">
      <formula>"risk_accepted"</formula>
    </cfRule>
    <cfRule type="cellIs" priority="18" operator="equal" dxfId="0">
      <formula>"FAILING"</formula>
    </cfRule>
    <cfRule type="cellIs" priority="19" operator="equal" dxfId="0">
      <formula>"EXPIRED"</formula>
    </cfRule>
    <cfRule type="cellIs" priority="20" operator="equal" dxfId="0">
      <formula>"missing"</formula>
    </cfRule>
    <cfRule type="cellIs" priority="21" operator="equal" dxfId="5">
      <formula>"open"</formula>
    </cfRule>
    <cfRule type="cellIs" priority="22" operator="equal" dxfId="0">
      <formula>"overdue"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55" customWidth="1" min="3" max="3"/>
    <col width="20" customWidth="1" min="4" max="4"/>
    <col width="22" customWidth="1" min="5" max="5"/>
    <col width="12" customWidth="1" min="6" max="6"/>
    <col width="13" customWidth="1" min="7" max="7"/>
    <col width="10" customWidth="1" min="8" max="8"/>
    <col width="13" customWidth="1" min="9" max="9"/>
    <col width="12" customWidth="1" min="10" max="10"/>
  </cols>
  <sheetData>
    <row r="1">
      <c r="A1" s="2" t="inlineStr">
        <is>
          <t>(Example Client) · ISO 42001 · generated from the GRC record as of 2026-10-24. Read-only export: change the record through pull requests, not here.</t>
        </is>
      </c>
    </row>
    <row r="3">
      <c r="A3" s="8" t="inlineStr">
        <is>
          <t>ID</t>
        </is>
      </c>
      <c r="B3" s="8" t="inlineStr">
        <is>
          <t>Area</t>
        </is>
      </c>
      <c r="C3" s="8" t="inlineStr">
        <is>
          <t>Finding</t>
        </is>
      </c>
      <c r="D3" s="8" t="inlineStr">
        <is>
          <t>Requirements</t>
        </is>
      </c>
      <c r="E3" s="8" t="inlineStr">
        <is>
          <t>Owner</t>
        </is>
      </c>
      <c r="F3" s="8" t="inlineStr">
        <is>
          <t>Due</t>
        </is>
      </c>
      <c r="G3" s="8" t="inlineStr">
        <is>
          <t>Phase</t>
        </is>
      </c>
      <c r="H3" s="8" t="inlineStr">
        <is>
          <t>Severity</t>
        </is>
      </c>
      <c r="I3" s="8" t="inlineStr">
        <is>
          <t>Status</t>
        </is>
      </c>
      <c r="J3" s="8" t="inlineStr">
        <is>
          <t>Days overdue</t>
        </is>
      </c>
    </row>
    <row r="4">
      <c r="A4" s="9" t="inlineStr">
        <is>
          <t>GAP-01</t>
        </is>
      </c>
      <c r="B4" s="9" t="inlineStr">
        <is>
          <t>AIMS governance</t>
        </is>
      </c>
      <c r="C4" s="9" t="inlineStr">
        <is>
          <t>No producer-scope AIMS AI policy yet; scope draft still needs leadership approval.</t>
        </is>
      </c>
      <c r="D4" s="9" t="inlineStr">
        <is>
          <t>5.2, 4.3, A.2.2</t>
        </is>
      </c>
      <c r="E4" s="9" t="inlineStr">
        <is>
          <t>VP Engineering</t>
        </is>
      </c>
      <c r="F4" s="10" t="n">
        <v>46346</v>
      </c>
      <c r="G4" s="9" t="inlineStr">
        <is>
          <t>governance</t>
        </is>
      </c>
      <c r="H4" s="9" t="inlineStr">
        <is>
          <t>high</t>
        </is>
      </c>
      <c r="I4" s="9" t="inlineStr">
        <is>
          <t>open</t>
        </is>
      </c>
      <c r="J4" s="9">
        <f>IF(AND(OR(I4="open",I4="in_progress"),ISNUMBER(F4),F4&lt;Summary!$B$4),Summary!$B$4-F4,"")</f>
        <v/>
      </c>
    </row>
    <row r="5">
      <c r="A5" s="9" t="inlineStr">
        <is>
          <t>GAP-02</t>
        </is>
      </c>
      <c r="B5" s="9" t="inlineStr">
        <is>
          <t>Impact assessment</t>
        </is>
      </c>
      <c r="C5" s="9" t="inlineStr">
        <is>
          <t>No AI impact assessments have been completed; methodology/template must be established and used.</t>
        </is>
      </c>
      <c r="D5" s="9" t="inlineStr">
        <is>
          <t>6.1.4, 8.4, A.5.2, A.5.3, A.5.4, A.5.5</t>
        </is>
      </c>
      <c r="E5" s="9" t="inlineStr">
        <is>
          <t>Head of Responsible AI</t>
        </is>
      </c>
      <c r="F5" s="10" t="n">
        <v>46374</v>
      </c>
      <c r="G5" s="9" t="inlineStr">
        <is>
          <t>implement</t>
        </is>
      </c>
      <c r="H5" s="9" t="inlineStr">
        <is>
          <t>high</t>
        </is>
      </c>
      <c r="I5" s="9" t="inlineStr">
        <is>
          <t>open</t>
        </is>
      </c>
      <c r="J5" s="9">
        <f>IF(AND(OR(I5="open",I5="in_progress"),ISNUMBER(F5),F5&lt;Summary!$B$4),Summary!$B$4-F5,"")</f>
        <v/>
      </c>
    </row>
    <row r="6">
      <c r="A6" s="9" t="inlineStr">
        <is>
          <t>GAP-03</t>
        </is>
      </c>
      <c r="B6" s="9" t="inlineStr">
        <is>
          <t>Training &amp; competence</t>
        </is>
      </c>
      <c r="C6" s="9" t="inlineStr">
        <is>
          <t>AI-specific training is planned but not yet operating.</t>
        </is>
      </c>
      <c r="D6" s="9" t="inlineStr">
        <is>
          <t>7.2, 7.3, A.4.6</t>
        </is>
      </c>
      <c r="E6" s="9" t="inlineStr">
        <is>
          <t>People Operations</t>
        </is>
      </c>
      <c r="F6" s="10" t="n">
        <v>46374</v>
      </c>
      <c r="G6" s="9" t="inlineStr">
        <is>
          <t>implement</t>
        </is>
      </c>
      <c r="H6" s="9" t="inlineStr">
        <is>
          <t>medium</t>
        </is>
      </c>
      <c r="I6" s="9" t="inlineStr">
        <is>
          <t>open</t>
        </is>
      </c>
      <c r="J6" s="9">
        <f>IF(AND(OR(I6="open",I6="in_progress"),ISNUMBER(F6),F6&lt;Summary!$B$4),Summary!$B$4-F6,"")</f>
        <v/>
      </c>
    </row>
    <row r="7">
      <c r="A7" s="9" t="inlineStr">
        <is>
          <t>GAP-04</t>
        </is>
      </c>
      <c r="B7" s="9" t="inlineStr">
        <is>
          <t>Data governance</t>
        </is>
      </c>
      <c r="C7" s="9" t="inlineStr">
        <is>
          <t>Existing classification taxonomy does not yet cover AI artifacts such as corpora, datasets, checkpoints, and delivered models.</t>
        </is>
      </c>
      <c r="D7" s="9" t="inlineStr">
        <is>
          <t>A.4.3, A.7.2, A.7.4</t>
        </is>
      </c>
      <c r="E7" s="9" t="inlineStr">
        <is>
          <t>Security &amp; Compliance</t>
        </is>
      </c>
      <c r="F7" s="10" t="n">
        <v>46351</v>
      </c>
      <c r="G7" s="9" t="inlineStr">
        <is>
          <t>governance</t>
        </is>
      </c>
      <c r="H7" s="9" t="inlineStr">
        <is>
          <t>medium</t>
        </is>
      </c>
      <c r="I7" s="9" t="inlineStr">
        <is>
          <t>open</t>
        </is>
      </c>
      <c r="J7" s="9">
        <f>IF(AND(OR(I7="open",I7="in_progress"),ISNUMBER(F7),F7&lt;Summary!$B$4),Summary!$B$4-F7,"")</f>
        <v/>
      </c>
    </row>
    <row r="8">
      <c r="A8" s="9" t="inlineStr">
        <is>
          <t>GAP-05</t>
        </is>
      </c>
      <c r="B8" s="9" t="inlineStr">
        <is>
          <t>AI suppliers</t>
        </is>
      </c>
      <c r="C8" s="9" t="inlineStr">
        <is>
          <t>AI-specific suppliers have not yet been run through the existing vendor program; supplier contract/DPA requirements are incomplete.</t>
        </is>
      </c>
      <c r="D8" s="9" t="inlineStr">
        <is>
          <t>A.10.2, A.10.3, 8.1</t>
        </is>
      </c>
      <c r="E8" s="9" t="inlineStr">
        <is>
          <t>Security &amp; Compliance</t>
        </is>
      </c>
      <c r="F8" s="10" t="n">
        <v>46374</v>
      </c>
      <c r="G8" s="9" t="inlineStr">
        <is>
          <t>implement</t>
        </is>
      </c>
      <c r="H8" s="9" t="inlineStr">
        <is>
          <t>high</t>
        </is>
      </c>
      <c r="I8" s="9" t="inlineStr">
        <is>
          <t>open</t>
        </is>
      </c>
      <c r="J8" s="9">
        <f>IF(AND(OR(I8="open",I8="in_progress"),ISNUMBER(F8),F8&lt;Summary!$B$4),Summary!$B$4-F8,"")</f>
        <v/>
      </c>
    </row>
    <row r="9">
      <c r="A9" s="9" t="inlineStr">
        <is>
          <t>GAP-06</t>
        </is>
      </c>
      <c r="B9" s="9" t="inlineStr">
        <is>
          <t>Control codification</t>
        </is>
      </c>
      <c r="C9" s="9" t="inlineStr">
        <is>
          <t>Some human-review and engineering practices operate in code/process but are not fully reflected in policy text.</t>
        </is>
      </c>
      <c r="D9" s="9" t="inlineStr">
        <is>
          <t>A.6.1.3, A.6.2.4, A.6.2.5, A.7.5, A.9.4</t>
        </is>
      </c>
      <c r="E9" s="9" t="inlineStr">
        <is>
          <t>Head of Platform</t>
        </is>
      </c>
      <c r="F9" s="10" t="n">
        <v>46356</v>
      </c>
      <c r="G9" s="9" t="inlineStr">
        <is>
          <t>governance</t>
        </is>
      </c>
      <c r="H9" s="9" t="inlineStr">
        <is>
          <t>medium</t>
        </is>
      </c>
      <c r="I9" s="9" t="inlineStr">
        <is>
          <t>in_progress</t>
        </is>
      </c>
      <c r="J9" s="9">
        <f>IF(AND(OR(I9="open",I9="in_progress"),ISNUMBER(F9),F9&lt;Summary!$B$4),Summary!$B$4-F9,"")</f>
        <v/>
      </c>
    </row>
    <row r="10">
      <c r="A10" s="9" t="inlineStr">
        <is>
          <t>GAP-07</t>
        </is>
      </c>
      <c r="B10" s="9" t="inlineStr">
        <is>
          <t>Regulatory mapping</t>
        </is>
      </c>
      <c r="C10" s="9" t="inlineStr">
        <is>
          <t>Formal per-market AI regulatory/contractual mapping has not yet been performed.</t>
        </is>
      </c>
      <c r="D10" s="9" t="inlineStr">
        <is>
          <t>4.1, 4.2, A.8.5</t>
        </is>
      </c>
      <c r="E10" s="9" t="inlineStr">
        <is>
          <t>Legal</t>
        </is>
      </c>
      <c r="F10" s="10" t="n">
        <v>46356</v>
      </c>
      <c r="G10" s="9" t="inlineStr">
        <is>
          <t>governance</t>
        </is>
      </c>
      <c r="H10" s="9" t="inlineStr">
        <is>
          <t>medium</t>
        </is>
      </c>
      <c r="I10" s="9" t="inlineStr">
        <is>
          <t>open</t>
        </is>
      </c>
      <c r="J10" s="9">
        <f>IF(AND(OR(I10="open",I10="in_progress"),ISNUMBER(F10),F10&lt;Summary!$B$4),Summary!$B$4-F10,"")</f>
        <v/>
      </c>
    </row>
    <row r="11">
      <c r="A11" s="9" t="inlineStr">
        <is>
          <t>GAP-08</t>
        </is>
      </c>
      <c r="B11" s="9" t="inlineStr">
        <is>
          <t>Internal audit</t>
        </is>
      </c>
      <c r="C11" s="9" t="inlineStr">
        <is>
          <t>No standalone AI/AIMS internal audit program or completed AI-scoped internal audit exists.</t>
        </is>
      </c>
      <c r="D11" s="9" t="inlineStr">
        <is>
          <t>9.2</t>
        </is>
      </c>
      <c r="E11" s="9" t="inlineStr">
        <is>
          <t>Security &amp; Compliance</t>
        </is>
      </c>
      <c r="F11" s="10" t="n">
        <v>46409</v>
      </c>
      <c r="G11" s="9" t="inlineStr">
        <is>
          <t>test</t>
        </is>
      </c>
      <c r="H11" s="9" t="inlineStr">
        <is>
          <t>high</t>
        </is>
      </c>
      <c r="I11" s="9" t="inlineStr">
        <is>
          <t>open</t>
        </is>
      </c>
      <c r="J11" s="9">
        <f>IF(AND(OR(I11="open",I11="in_progress"),ISNUMBER(F11),F11&lt;Summary!$B$4),Summary!$B$4-F11,"")</f>
        <v/>
      </c>
    </row>
    <row r="12">
      <c r="A12" s="9" t="inlineStr">
        <is>
          <t>GAP-09</t>
        </is>
      </c>
      <c r="B12" s="9" t="inlineStr">
        <is>
          <t>Management review</t>
        </is>
      </c>
      <c r="C12" s="9" t="inlineStr">
        <is>
          <t>AI is discussed in quarterly leadership review, but a dedicated standing AI/AIMS review structure needs to be formalized.</t>
        </is>
      </c>
      <c r="D12" s="9" t="inlineStr">
        <is>
          <t>9.3, 5.1</t>
        </is>
      </c>
      <c r="E12" s="9" t="inlineStr">
        <is>
          <t>VP Engineering</t>
        </is>
      </c>
      <c r="F12" s="10" t="n">
        <v>46416</v>
      </c>
      <c r="G12" s="9" t="inlineStr">
        <is>
          <t>test</t>
        </is>
      </c>
      <c r="H12" s="9" t="inlineStr">
        <is>
          <t>medium</t>
        </is>
      </c>
      <c r="I12" s="9" t="inlineStr">
        <is>
          <t>open</t>
        </is>
      </c>
      <c r="J12" s="9">
        <f>IF(AND(OR(I12="open",I12="in_progress"),ISNUMBER(F12),F12&lt;Summary!$B$4),Summary!$B$4-F12,"")</f>
        <v/>
      </c>
    </row>
    <row r="13">
      <c r="A13" s="9" t="inlineStr">
        <is>
          <t>GAP-10</t>
        </is>
      </c>
      <c r="B13" s="9" t="inlineStr">
        <is>
          <t>Statement of Applicability</t>
        </is>
      </c>
      <c r="C13" s="9" t="inlineStr">
        <is>
          <t>No SoA exists; Annex A applicability and justifications must be decided and approved.</t>
        </is>
      </c>
      <c r="D13" s="9" t="inlineStr">
        <is>
          <t>6.1.3</t>
        </is>
      </c>
      <c r="E13" s="9" t="inlineStr">
        <is>
          <t>Security &amp; Compliance</t>
        </is>
      </c>
      <c r="F13" s="10" t="n">
        <v>46346</v>
      </c>
      <c r="G13" s="9" t="inlineStr">
        <is>
          <t>governance</t>
        </is>
      </c>
      <c r="H13" s="9" t="inlineStr">
        <is>
          <t>high</t>
        </is>
      </c>
      <c r="I13" s="9" t="inlineStr">
        <is>
          <t>open</t>
        </is>
      </c>
      <c r="J13" s="9">
        <f>IF(AND(OR(I13="open",I13="in_progress"),ISNUMBER(F13),F13&lt;Summary!$B$4),Summary!$B$4-F13,"")</f>
        <v/>
      </c>
    </row>
    <row r="14">
      <c r="A14" s="9" t="inlineStr">
        <is>
          <t>GAP-11</t>
        </is>
      </c>
      <c r="B14" s="9" t="inlineStr">
        <is>
          <t>Roles</t>
        </is>
      </c>
      <c r="C14" s="9" t="inlineStr">
        <is>
          <t>AIMS roles and responsibilities are not documented in a RACI.</t>
        </is>
      </c>
      <c r="D14" s="9" t="inlineStr">
        <is>
          <t>5.3, A.3.2</t>
        </is>
      </c>
      <c r="E14" s="9" t="inlineStr">
        <is>
          <t>VP Engineering</t>
        </is>
      </c>
      <c r="F14" s="10" t="n">
        <v>46339</v>
      </c>
      <c r="G14" s="9" t="inlineStr">
        <is>
          <t>governance</t>
        </is>
      </c>
      <c r="H14" s="9" t="inlineStr">
        <is>
          <t>medium</t>
        </is>
      </c>
      <c r="I14" s="9" t="inlineStr">
        <is>
          <t>open</t>
        </is>
      </c>
      <c r="J14" s="9">
        <f>IF(AND(OR(I14="open",I14="in_progress"),ISNUMBER(F14),F14&lt;Summary!$B$4),Summary!$B$4-F14,"")</f>
        <v/>
      </c>
    </row>
    <row r="15">
      <c r="A15" s="9" t="inlineStr">
        <is>
          <t>GAP-12</t>
        </is>
      </c>
      <c r="B15" s="9" t="inlineStr">
        <is>
          <t>Concern reporting</t>
        </is>
      </c>
      <c r="C15" s="9" t="inlineStr">
        <is>
          <t>No internal or external channel for reporting AI concerns or adverse impacts.</t>
        </is>
      </c>
      <c r="D15" s="9" t="inlineStr">
        <is>
          <t>A.3.3, A.8.3</t>
        </is>
      </c>
      <c r="E15" s="9" t="inlineStr">
        <is>
          <t>Legal</t>
        </is>
      </c>
      <c r="F15" s="10" t="n">
        <v>46367</v>
      </c>
      <c r="G15" s="9" t="inlineStr">
        <is>
          <t>implement</t>
        </is>
      </c>
      <c r="H15" s="9" t="inlineStr">
        <is>
          <t>medium</t>
        </is>
      </c>
      <c r="I15" s="9" t="inlineStr">
        <is>
          <t>open</t>
        </is>
      </c>
      <c r="J15" s="9">
        <f>IF(AND(OR(I15="open",I15="in_progress"),ISNUMBER(F15),F15&lt;Summary!$B$4),Summary!$B$4-F15,"")</f>
        <v/>
      </c>
    </row>
    <row r="16">
      <c r="A16" s="9" t="inlineStr">
        <is>
          <t>GAP-13</t>
        </is>
      </c>
      <c r="B16" s="9" t="inlineStr">
        <is>
          <t>Inventory</t>
        </is>
      </c>
      <c r="C16" s="9" t="inlineStr">
        <is>
          <t>Model registry entries lacked an accountable owner field.</t>
        </is>
      </c>
      <c r="D16" s="9" t="inlineStr">
        <is>
          <t>A.4.2</t>
        </is>
      </c>
      <c r="E16" s="9" t="inlineStr">
        <is>
          <t>Head of Platform</t>
        </is>
      </c>
      <c r="F16" s="10" t="n">
        <v>46304</v>
      </c>
      <c r="G16" s="9" t="inlineStr">
        <is>
          <t>validate</t>
        </is>
      </c>
      <c r="H16" s="9" t="inlineStr">
        <is>
          <t>low</t>
        </is>
      </c>
      <c r="I16" s="9" t="inlineStr">
        <is>
          <t>closed</t>
        </is>
      </c>
      <c r="J16" s="9">
        <f>IF(AND(OR(I16="open",I16="in_progress"),ISNUMBER(F16),F16&lt;Summary!$B$4),Summary!$B$4-F16,"")</f>
        <v/>
      </c>
    </row>
  </sheetData>
  <autoFilter ref="A3:J16"/>
  <conditionalFormatting sqref="I4:I16">
    <cfRule type="cellIs" priority="1" operator="equal" dxfId="1">
      <formula>"verified"</formula>
    </cfRule>
    <cfRule type="cellIs" priority="2" operator="equal" dxfId="1">
      <formula>"pass"</formula>
    </cfRule>
    <cfRule type="cellIs" priority="3" operator="equal" dxfId="1">
      <formula>"Ready"</formula>
    </cfRule>
    <cfRule type="cellIs" priority="4" operator="equal" dxfId="1">
      <formula>"approved"</formula>
    </cfRule>
    <cfRule type="cellIs" priority="5" operator="equal" dxfId="1">
      <formula>"closed"</formula>
    </cfRule>
    <cfRule type="cellIs" priority="6" operator="equal" dxfId="1">
      <formula>"done"</formula>
    </cfRule>
    <cfRule type="cellIs" priority="7" operator="equal" dxfId="1">
      <formula>"current"</formula>
    </cfRule>
    <cfRule type="cellIs" priority="8" operator="equal" dxfId="2">
      <formula>"partial"</formula>
    </cfRule>
    <cfRule type="cellIs" priority="9" operator="equal" dxfId="2">
      <formula>"In progress"</formula>
    </cfRule>
    <cfRule type="cellIs" priority="10" operator="equal" dxfId="2">
      <formula>"in_review"</formula>
    </cfRule>
    <cfRule type="cellIs" priority="11" operator="equal" dxfId="2">
      <formula>"action_planned"</formula>
    </cfRule>
    <cfRule type="cellIs" priority="12" operator="equal" dxfId="2">
      <formula>"implemented"</formula>
    </cfRule>
    <cfRule type="cellIs" priority="13" operator="equal" dxfId="3">
      <formula>"claimed"</formula>
    </cfRule>
    <cfRule type="cellIs" priority="14" operator="equal" dxfId="3">
      <formula>"Unverified claim"</formula>
    </cfRule>
    <cfRule type="cellIs" priority="15" operator="equal" dxfId="3">
      <formula>"draft"</formula>
    </cfRule>
    <cfRule type="cellIs" priority="16" operator="equal" dxfId="2">
      <formula>"in_progress"</formula>
    </cfRule>
    <cfRule type="cellIs" priority="17" operator="equal" dxfId="4">
      <formula>"risk_accepted"</formula>
    </cfRule>
    <cfRule type="cellIs" priority="18" operator="equal" dxfId="0">
      <formula>"FAILING"</formula>
    </cfRule>
    <cfRule type="cellIs" priority="19" operator="equal" dxfId="0">
      <formula>"EXPIRED"</formula>
    </cfRule>
    <cfRule type="cellIs" priority="20" operator="equal" dxfId="0">
      <formula>"missing"</formula>
    </cfRule>
    <cfRule type="cellIs" priority="21" operator="equal" dxfId="5">
      <formula>"open"</formula>
    </cfRule>
    <cfRule type="cellIs" priority="22" operator="equal" dxfId="0">
      <formula>"overdue"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5" customWidth="1" min="2" max="2"/>
    <col width="11" customWidth="1" min="3" max="3"/>
    <col width="40" customWidth="1" min="4" max="4"/>
    <col width="12" customWidth="1" min="5" max="5"/>
    <col width="12" customWidth="1" min="6" max="6"/>
    <col width="11" customWidth="1" min="7" max="7"/>
    <col width="22" customWidth="1" min="8" max="8"/>
    <col width="30" customWidth="1" min="9" max="9"/>
  </cols>
  <sheetData>
    <row r="1">
      <c r="A1" s="2" t="inlineStr">
        <is>
          <t>(Example Client) · ISO 42001 · generated from the GRC record as of 2026-10-24. Read-only export: change the record through pull requests, not here.</t>
        </is>
      </c>
    </row>
    <row r="3">
      <c r="A3" s="8" t="inlineStr">
        <is>
          <t>ID</t>
        </is>
      </c>
      <c r="B3" s="8" t="inlineStr">
        <is>
          <t>Title</t>
        </is>
      </c>
      <c r="C3" s="8" t="inlineStr">
        <is>
          <t>Type</t>
        </is>
      </c>
      <c r="D3" s="8" t="inlineStr">
        <is>
          <t>Location</t>
        </is>
      </c>
      <c r="E3" s="8" t="inlineStr">
        <is>
          <t>Collected</t>
        </is>
      </c>
      <c r="F3" s="8" t="inlineStr">
        <is>
          <t>Expires</t>
        </is>
      </c>
      <c r="G3" s="8" t="inlineStr">
        <is>
          <t>Status</t>
        </is>
      </c>
      <c r="H3" s="8" t="inlineStr">
        <is>
          <t>Approved by</t>
        </is>
      </c>
      <c r="I3" s="8" t="inlineStr">
        <is>
          <t>Supports</t>
        </is>
      </c>
    </row>
    <row r="4">
      <c r="A4" s="9" t="inlineStr">
        <is>
          <t>EV-001</t>
        </is>
      </c>
      <c r="B4" s="9" t="inlineStr">
        <is>
          <t>Draft AIMS scope statement (unapproved)</t>
        </is>
      </c>
      <c r="C4" s="9" t="inlineStr">
        <is>
          <t>document</t>
        </is>
      </c>
      <c r="D4" s="9" t="inlineStr">
        <is>
          <t>sharepoint://aims/AIMS-Scope-DRAFT-v0.3.docx</t>
        </is>
      </c>
      <c r="E4" s="10" t="n">
        <v>46300</v>
      </c>
      <c r="F4" s="10" t="n">
        <v>46665</v>
      </c>
      <c r="G4" s="9" t="inlineStr">
        <is>
          <t>current</t>
        </is>
      </c>
      <c r="H4" s="9" t="n"/>
      <c r="I4" s="9" t="inlineStr">
        <is>
          <t>4.1·D, 4.3·D, A.4.2·D</t>
        </is>
      </c>
    </row>
    <row r="5">
      <c r="A5" s="9" t="inlineStr">
        <is>
          <t>EV-002</t>
        </is>
      </c>
      <c r="B5" s="9" t="inlineStr">
        <is>
          <t>AI systems inventory (4 systems)</t>
        </is>
      </c>
      <c r="C5" s="9" t="inlineStr">
        <is>
          <t>record</t>
        </is>
      </c>
      <c r="D5" s="9" t="inlineStr">
        <is>
          <t>sharepoint://aims/AI-Inventory.xlsx#Systems</t>
        </is>
      </c>
      <c r="E5" s="10" t="n">
        <v>46300</v>
      </c>
      <c r="F5" s="10" t="n">
        <v>46390</v>
      </c>
      <c r="G5" s="9" t="inlineStr">
        <is>
          <t>current</t>
        </is>
      </c>
      <c r="H5" s="9" t="n"/>
      <c r="I5" s="9" t="inlineStr">
        <is>
          <t>A.4.2·I</t>
        </is>
      </c>
    </row>
    <row r="6">
      <c r="A6" s="9" t="inlineStr">
        <is>
          <t>EV-003</t>
        </is>
      </c>
      <c r="B6" s="9" t="inlineStr">
        <is>
          <t>Model registry export with owner field populated</t>
        </is>
      </c>
      <c r="C6" s="9" t="inlineStr">
        <is>
          <t>record</t>
        </is>
      </c>
      <c r="D6" s="9" t="inlineStr">
        <is>
          <t>model-registry://exports/2026-10-07.json</t>
        </is>
      </c>
      <c r="E6" s="10" t="n">
        <v>46302</v>
      </c>
      <c r="F6" s="10" t="n">
        <v>46392</v>
      </c>
      <c r="G6" s="9" t="inlineStr">
        <is>
          <t>current</t>
        </is>
      </c>
      <c r="H6" s="9" t="n"/>
      <c r="I6" s="9" t="inlineStr">
        <is>
          <t>A.4.2·I, A.4.2·E</t>
        </is>
      </c>
    </row>
    <row r="7">
      <c r="A7" s="9" t="inlineStr">
        <is>
          <t>EV-004</t>
        </is>
      </c>
      <c r="B7" s="9" t="inlineStr">
        <is>
          <t>Drata AI-category risk register export (20 risks)</t>
        </is>
      </c>
      <c r="C7" s="9" t="inlineStr">
        <is>
          <t>record</t>
        </is>
      </c>
      <c r="D7" s="9" t="inlineStr">
        <is>
          <t>drata://risks?category=AI (export 2026-09-30)</t>
        </is>
      </c>
      <c r="E7" s="10" t="n">
        <v>46295</v>
      </c>
      <c r="F7" s="10" t="n">
        <v>46415</v>
      </c>
      <c r="G7" s="9" t="inlineStr">
        <is>
          <t>current</t>
        </is>
      </c>
      <c r="H7" s="9" t="n"/>
      <c r="I7" s="9" t="inlineStr">
        <is>
          <t>6.1.2·I, 6.1.2·E, 6.1.3·I, 8.2·I, 8.2·E, 8.3·I</t>
        </is>
      </c>
    </row>
    <row r="8">
      <c r="A8" s="9" t="inlineStr">
        <is>
          <t>EV-005</t>
        </is>
      </c>
      <c r="B8" s="9" t="inlineStr">
        <is>
          <t>Enterprise risk management methodology (SOC 2)</t>
        </is>
      </c>
      <c r="C8" s="9" t="inlineStr">
        <is>
          <t>document</t>
        </is>
      </c>
      <c r="D8" s="9" t="inlineStr">
        <is>
          <t>sharepoint://policies/ERM-Methodology-v3.pdf</t>
        </is>
      </c>
      <c r="E8" s="10" t="n">
        <v>46297</v>
      </c>
      <c r="F8" s="10" t="n">
        <v>46662</v>
      </c>
      <c r="G8" s="9" t="inlineStr">
        <is>
          <t>current</t>
        </is>
      </c>
      <c r="H8" s="9" t="inlineStr">
        <is>
          <t>CISO</t>
        </is>
      </c>
      <c r="I8" s="9" t="inlineStr">
        <is>
          <t>6.1.1·D, 6.1.2·D, 8.2·D</t>
        </is>
      </c>
    </row>
    <row r="9">
      <c r="A9" s="9" t="inlineStr">
        <is>
          <t>EV-006</t>
        </is>
      </c>
      <c r="B9" s="9" t="inlineStr">
        <is>
          <t>Responsible AI Principles (published 2025)</t>
        </is>
      </c>
      <c r="C9" s="9" t="inlineStr">
        <is>
          <t>document</t>
        </is>
      </c>
      <c r="D9" s="9" t="inlineStr">
        <is>
          <t>sharepoint://policies/Responsible-AI-Principles.pdf</t>
        </is>
      </c>
      <c r="E9" s="10" t="n">
        <v>45809</v>
      </c>
      <c r="F9" s="10" t="n">
        <v>46174</v>
      </c>
      <c r="G9" s="9" t="inlineStr">
        <is>
          <t>EXPIRED</t>
        </is>
      </c>
      <c r="H9" s="9" t="inlineStr">
        <is>
          <t>CEO</t>
        </is>
      </c>
      <c r="I9" s="9" t="inlineStr">
        <is>
          <t>A.6.1.2·D</t>
        </is>
      </c>
    </row>
    <row r="10">
      <c r="A10" s="9" t="inlineStr">
        <is>
          <t>EV-007</t>
        </is>
      </c>
      <c r="B10" s="9" t="inlineStr">
        <is>
          <t>Company AI Use Policy (end-user use)</t>
        </is>
      </c>
      <c r="C10" s="9" t="inlineStr">
        <is>
          <t>document</t>
        </is>
      </c>
      <c r="D10" s="9" t="inlineStr">
        <is>
          <t>sharepoint://policies/AI-Use-Policy-v1.2.pdf</t>
        </is>
      </c>
      <c r="E10" s="10" t="n">
        <v>46297</v>
      </c>
      <c r="F10" s="10" t="n">
        <v>46662</v>
      </c>
      <c r="G10" s="9" t="inlineStr">
        <is>
          <t>current</t>
        </is>
      </c>
      <c r="H10" s="9" t="inlineStr">
        <is>
          <t>CISO</t>
        </is>
      </c>
      <c r="I10" s="9" t="inlineStr">
        <is>
          <t>A.9.2·D</t>
        </is>
      </c>
    </row>
    <row r="11">
      <c r="A11" s="9" t="inlineStr">
        <is>
          <t>EV-008</t>
        </is>
      </c>
      <c r="B11" s="9" t="inlineStr">
        <is>
          <t>AI lifecycle controls procedure (draft)</t>
        </is>
      </c>
      <c r="C11" s="9" t="inlineStr">
        <is>
          <t>document</t>
        </is>
      </c>
      <c r="D11" s="9" t="inlineStr">
        <is>
          <t>sharepoint://aims/AI-Lifecycle-Controls-Procedure-DRAFT.docx</t>
        </is>
      </c>
      <c r="E11" s="10" t="n">
        <v>46300</v>
      </c>
      <c r="F11" s="10" t="n">
        <v>46665</v>
      </c>
      <c r="G11" s="9" t="inlineStr">
        <is>
          <t>current</t>
        </is>
      </c>
      <c r="H11" s="9" t="n"/>
      <c r="I11" s="9" t="inlineStr">
        <is>
          <t>8.1·D, A.6.1.3·D</t>
        </is>
      </c>
    </row>
    <row r="12">
      <c r="A12" s="9" t="inlineStr">
        <is>
          <t>EV-009</t>
        </is>
      </c>
      <c r="B12" s="9" t="inlineStr">
        <is>
          <t>CI model release and evidence gate (workflow config)</t>
        </is>
      </c>
      <c r="C12" s="9" t="inlineStr">
        <is>
          <t>config</t>
        </is>
      </c>
      <c r="D12" s="9" t="inlineStr">
        <is>
          <t>git://client-platform/ml-release/.ci/release-gate.yml@main</t>
        </is>
      </c>
      <c r="E12" s="10" t="n">
        <v>46300</v>
      </c>
      <c r="F12" s="10" t="n">
        <v>46390</v>
      </c>
      <c r="G12" s="9" t="inlineStr">
        <is>
          <t>current</t>
        </is>
      </c>
      <c r="H12" s="9" t="n"/>
      <c r="I12" s="9" t="inlineStr">
        <is>
          <t>8.1·I, A.6.1.3·I, A.6.2.4·I, A.6.2.5·I</t>
        </is>
      </c>
    </row>
    <row r="13">
      <c r="A13" s="9" t="inlineStr">
        <is>
          <t>EV-010</t>
        </is>
      </c>
      <c r="B13" s="9" t="inlineStr">
        <is>
          <t>Gated evaluation results - last 3 production releases</t>
        </is>
      </c>
      <c r="C13" s="9" t="inlineStr">
        <is>
          <t>record</t>
        </is>
      </c>
      <c r="D13" s="9" t="inlineStr">
        <is>
          <t>ci://ml-release/release-gate/runs?branch=main&amp;last=3</t>
        </is>
      </c>
      <c r="E13" s="10" t="n">
        <v>46293</v>
      </c>
      <c r="F13" s="10" t="n">
        <v>46383</v>
      </c>
      <c r="G13" s="9" t="inlineStr">
        <is>
          <t>current</t>
        </is>
      </c>
      <c r="H13" s="9" t="n"/>
      <c r="I13" s="9" t="inlineStr">
        <is>
          <t>A.6.2.4·I, A.6.2.4·E</t>
        </is>
      </c>
    </row>
    <row r="14">
      <c r="A14" s="9" t="inlineStr">
        <is>
          <t>EV-011</t>
        </is>
      </c>
      <c r="B14" s="9" t="inlineStr">
        <is>
          <t>PR approval records for Q3 model promotions</t>
        </is>
      </c>
      <c r="C14" s="9" t="inlineStr">
        <is>
          <t>record</t>
        </is>
      </c>
      <c r="D14" s="9" t="inlineStr">
        <is>
          <t>github://pulls?label=model-promotion&amp;merged=2026-07-01..2026-09-30</t>
        </is>
      </c>
      <c r="E14" s="10" t="n">
        <v>46296</v>
      </c>
      <c r="F14" s="10" t="n">
        <v>46416</v>
      </c>
      <c r="G14" s="9" t="inlineStr">
        <is>
          <t>current</t>
        </is>
      </c>
      <c r="H14" s="9" t="n"/>
      <c r="I14" s="9" t="inlineStr">
        <is>
          <t>A.6.2.4·E, A.6.2.5·I, A.6.2.5·E</t>
        </is>
      </c>
    </row>
    <row r="15">
      <c r="A15" s="9" t="inlineStr">
        <is>
          <t>EV-012</t>
        </is>
      </c>
      <c r="B15" s="9" t="inlineStr">
        <is>
          <t>Production telemetry dashboard (model drift and error rates)</t>
        </is>
      </c>
      <c r="C15" s="9" t="inlineStr">
        <is>
          <t>screenshot</t>
        </is>
      </c>
      <c r="D15" s="9" t="inlineStr">
        <is>
          <t>grafana://dashboards/ai-prod-overview (captured 2026-10-03)</t>
        </is>
      </c>
      <c r="E15" s="10" t="n">
        <v>46298</v>
      </c>
      <c r="F15" s="10" t="n">
        <v>46358</v>
      </c>
      <c r="G15" s="9" t="inlineStr">
        <is>
          <t>current</t>
        </is>
      </c>
      <c r="H15" s="9" t="n"/>
      <c r="I15" s="9" t="inlineStr">
        <is>
          <t>9.1·I, A.6.2.6·I, A.6.2.6·E</t>
        </is>
      </c>
    </row>
    <row r="16">
      <c r="A16" s="9" t="inlineStr">
        <is>
          <t>EV-013</t>
        </is>
      </c>
      <c r="B16" s="9" t="inlineStr">
        <is>
          <t>Incident management and corrective action procedure (SOC 2)</t>
        </is>
      </c>
      <c r="C16" s="9" t="inlineStr">
        <is>
          <t>document</t>
        </is>
      </c>
      <c r="D16" s="9" t="inlineStr">
        <is>
          <t>sharepoint://policies/Incident-Management-v4.pdf</t>
        </is>
      </c>
      <c r="E16" s="10" t="n">
        <v>46297</v>
      </c>
      <c r="F16" s="10" t="n">
        <v>46662</v>
      </c>
      <c r="G16" s="9" t="inlineStr">
        <is>
          <t>current</t>
        </is>
      </c>
      <c r="H16" s="9" t="inlineStr">
        <is>
          <t>CISO</t>
        </is>
      </c>
      <c r="I16" s="9" t="inlineStr">
        <is>
          <t>10.2·D, A.8.4·D</t>
        </is>
      </c>
    </row>
    <row r="17">
      <c r="A17" s="9" t="inlineStr">
        <is>
          <t>EV-014</t>
        </is>
      </c>
      <c r="B17" s="9" t="inlineStr">
        <is>
          <t>Incident tickets sample, Q3 2026 (includes 1 AI-related)</t>
        </is>
      </c>
      <c r="C17" s="9" t="inlineStr">
        <is>
          <t>record</t>
        </is>
      </c>
      <c r="D17" s="9" t="inlineStr">
        <is>
          <t>jira://INC?created=2026-07-01..2026-09-30</t>
        </is>
      </c>
      <c r="E17" s="10" t="n">
        <v>46297</v>
      </c>
      <c r="F17" s="10" t="n">
        <v>46417</v>
      </c>
      <c r="G17" s="9" t="inlineStr">
        <is>
          <t>current</t>
        </is>
      </c>
      <c r="H17" s="9" t="n"/>
      <c r="I17" s="9" t="inlineStr">
        <is>
          <t>10.2·I, A.8.4·I</t>
        </is>
      </c>
    </row>
    <row r="18">
      <c r="A18" s="9" t="inlineStr">
        <is>
          <t>EV-015</t>
        </is>
      </c>
      <c r="B18" s="9" t="inlineStr">
        <is>
          <t>Vendor management procedure (SOC 2)</t>
        </is>
      </c>
      <c r="C18" s="9" t="inlineStr">
        <is>
          <t>document</t>
        </is>
      </c>
      <c r="D18" s="9" t="inlineStr">
        <is>
          <t>sharepoint://policies/Vendor-Management-v2.pdf</t>
        </is>
      </c>
      <c r="E18" s="10" t="n">
        <v>46297</v>
      </c>
      <c r="F18" s="10" t="n">
        <v>46662</v>
      </c>
      <c r="G18" s="9" t="inlineStr">
        <is>
          <t>current</t>
        </is>
      </c>
      <c r="H18" s="9" t="inlineStr">
        <is>
          <t>CISO</t>
        </is>
      </c>
      <c r="I18" s="9" t="inlineStr">
        <is>
          <t>A.10.3·D</t>
        </is>
      </c>
    </row>
    <row r="19">
      <c r="A19" s="9" t="inlineStr">
        <is>
          <t>EV-016</t>
        </is>
      </c>
      <c r="B19" s="9" t="inlineStr">
        <is>
          <t>Quarterly leadership review minutes, Q3 2026 (AI agenda item)</t>
        </is>
      </c>
      <c r="C19" s="9" t="inlineStr">
        <is>
          <t>record</t>
        </is>
      </c>
      <c r="D19" s="9" t="inlineStr">
        <is>
          <t>sharepoint://leadership/QBR-2026-Q3-minutes.docx</t>
        </is>
      </c>
      <c r="E19" s="10" t="n">
        <v>46296</v>
      </c>
      <c r="F19" s="10" t="n">
        <v>46416</v>
      </c>
      <c r="G19" s="9" t="inlineStr">
        <is>
          <t>current</t>
        </is>
      </c>
      <c r="H19" s="9" t="n"/>
      <c r="I19" s="9" t="inlineStr">
        <is>
          <t>5.1·I, 9.3·I</t>
        </is>
      </c>
    </row>
    <row r="20">
      <c r="A20" s="9" t="inlineStr">
        <is>
          <t>EV-017</t>
        </is>
      </c>
      <c r="B20" s="9" t="inlineStr">
        <is>
          <t>Data classification policy (SOC 2) - no AI artifact classes</t>
        </is>
      </c>
      <c r="C20" s="9" t="inlineStr">
        <is>
          <t>document</t>
        </is>
      </c>
      <c r="D20" s="9" t="inlineStr">
        <is>
          <t>sharepoint://policies/Data-Classification-v3.pdf</t>
        </is>
      </c>
      <c r="E20" s="10" t="n">
        <v>46297</v>
      </c>
      <c r="F20" s="10" t="n">
        <v>46662</v>
      </c>
      <c r="G20" s="9" t="inlineStr">
        <is>
          <t>current</t>
        </is>
      </c>
      <c r="H20" s="9" t="inlineStr">
        <is>
          <t>CISO</t>
        </is>
      </c>
      <c r="I20" s="9" t="inlineStr">
        <is>
          <t>A.7.2·D</t>
        </is>
      </c>
    </row>
    <row r="21">
      <c r="A21" s="9" t="inlineStr">
        <is>
          <t>EV-018</t>
        </is>
      </c>
      <c r="B21" s="9" t="inlineStr">
        <is>
          <t>Training-data provenance hash manifests (sample of 3 datasets)</t>
        </is>
      </c>
      <c r="C21" s="9" t="inlineStr">
        <is>
          <t>record</t>
        </is>
      </c>
      <c r="D21" s="9" t="inlineStr">
        <is>
          <t>s3://ml-artifacts/provenance/manifests/ (sample 2026-10-04)</t>
        </is>
      </c>
      <c r="E21" s="10" t="n">
        <v>46299</v>
      </c>
      <c r="F21" s="10" t="n">
        <v>46389</v>
      </c>
      <c r="G21" s="9" t="inlineStr">
        <is>
          <t>current</t>
        </is>
      </c>
      <c r="H21" s="9" t="n"/>
      <c r="I21" s="9" t="inlineStr">
        <is>
          <t>A.7.5·I, A.7.5·E</t>
        </is>
      </c>
    </row>
    <row r="22">
      <c r="A22" s="9" t="inlineStr">
        <is>
          <t>EV-019</t>
        </is>
      </c>
      <c r="B22" s="9" t="inlineStr">
        <is>
          <t>Production event-logging configuration for AI services</t>
        </is>
      </c>
      <c r="C22" s="9" t="inlineStr">
        <is>
          <t>config</t>
        </is>
      </c>
      <c r="D22" s="9" t="inlineStr">
        <is>
          <t>infra://terraform/modules/ai-services/logging.tf@a1b2c3d</t>
        </is>
      </c>
      <c r="E22" s="10" t="n">
        <v>46299</v>
      </c>
      <c r="F22" s="10" t="n">
        <v>46389</v>
      </c>
      <c r="G22" s="9" t="inlineStr">
        <is>
          <t>current</t>
        </is>
      </c>
      <c r="H22" s="9" t="n"/>
      <c r="I22" s="9" t="inlineStr">
        <is>
          <t>A.6.2.8·I, A.6.2.8·E</t>
        </is>
      </c>
    </row>
    <row r="23">
      <c r="A23" s="9" t="inlineStr">
        <is>
          <t>EV-020</t>
        </is>
      </c>
      <c r="B23" s="9" t="inlineStr">
        <is>
          <t>Document control procedure (SOC 2)</t>
        </is>
      </c>
      <c r="C23" s="9" t="inlineStr">
        <is>
          <t>document</t>
        </is>
      </c>
      <c r="D23" s="9" t="inlineStr">
        <is>
          <t>sharepoint://policies/Document-Control-v2.pdf</t>
        </is>
      </c>
      <c r="E23" s="10" t="n">
        <v>46297</v>
      </c>
      <c r="F23" s="10" t="n">
        <v>46662</v>
      </c>
      <c r="G23" s="9" t="inlineStr">
        <is>
          <t>current</t>
        </is>
      </c>
      <c r="H23" s="9" t="inlineStr">
        <is>
          <t>CISO</t>
        </is>
      </c>
      <c r="I23" s="9" t="inlineStr">
        <is>
          <t>7.5·D</t>
        </is>
      </c>
    </row>
    <row r="24">
      <c r="A24" s="9" t="inlineStr">
        <is>
          <t>EV-021</t>
        </is>
      </c>
      <c r="B24" s="9" t="inlineStr">
        <is>
          <t>Security awareness training completions (FY26)</t>
        </is>
      </c>
      <c r="C24" s="9" t="inlineStr">
        <is>
          <t>record</t>
        </is>
      </c>
      <c r="D24" s="9" t="inlineStr">
        <is>
          <t>lms://reports/security-awareness-2026</t>
        </is>
      </c>
      <c r="E24" s="10" t="n">
        <v>46297</v>
      </c>
      <c r="F24" s="10" t="n">
        <v>46417</v>
      </c>
      <c r="G24" s="9" t="inlineStr">
        <is>
          <t>current</t>
        </is>
      </c>
      <c r="H24" s="9" t="n"/>
      <c r="I24" s="9" t="inlineStr">
        <is>
          <t>7.3·I</t>
        </is>
      </c>
    </row>
    <row r="25">
      <c r="A25" s="9" t="inlineStr">
        <is>
          <t>EV-022</t>
        </is>
      </c>
      <c r="B25" s="9" t="inlineStr">
        <is>
          <t>Analyst walkthrough: release gate on 2 sampled promotions</t>
        </is>
      </c>
      <c r="C25" s="9" t="inlineStr">
        <is>
          <t>test</t>
        </is>
      </c>
      <c r="D25" s="9" t="inlineStr">
        <is>
          <t>workpapers/WP-01-release-gate-walkthrough.md</t>
        </is>
      </c>
      <c r="E25" s="10" t="n">
        <v>46302</v>
      </c>
      <c r="F25" s="10" t="n">
        <v>46482</v>
      </c>
      <c r="G25" s="9" t="inlineStr">
        <is>
          <t>current</t>
        </is>
      </c>
      <c r="H25" s="9" t="n"/>
      <c r="I25" s="9" t="inlineStr">
        <is>
          <t>A.6.2.4·T</t>
        </is>
      </c>
    </row>
    <row r="26">
      <c r="A26" s="9" t="inlineStr">
        <is>
          <t>EV-101</t>
        </is>
      </c>
      <c r="B26" s="9" t="inlineStr">
        <is>
          <t>Engagement repo: main branch protection</t>
        </is>
      </c>
      <c r="C26" s="9" t="inlineStr">
        <is>
          <t>config</t>
        </is>
      </c>
      <c r="D26" s="9" t="inlineStr">
        <is>
          <t>engagement/evidence/collected/EV-101.json</t>
        </is>
      </c>
      <c r="E26" s="10" t="n">
        <v>46303</v>
      </c>
      <c r="F26" s="10" t="n">
        <v>46333</v>
      </c>
      <c r="G26" s="9" t="inlineStr">
        <is>
          <t>current</t>
        </is>
      </c>
      <c r="H26" s="9" t="n"/>
      <c r="I26" s="9" t="inlineStr">
        <is>
          <t>(unused)</t>
        </is>
      </c>
    </row>
    <row r="27">
      <c r="A27" s="9" t="inlineStr">
        <is>
          <t>EV-102</t>
        </is>
      </c>
      <c r="B27" s="9" t="inlineStr">
        <is>
          <t>Engagement repo: independent review of merged changes (90 days)</t>
        </is>
      </c>
      <c r="C27" s="9" t="inlineStr">
        <is>
          <t>record</t>
        </is>
      </c>
      <c r="D27" s="9" t="inlineStr">
        <is>
          <t>engagement/evidence/collected/EV-102.json</t>
        </is>
      </c>
      <c r="E27" s="10" t="n">
        <v>46303</v>
      </c>
      <c r="F27" s="10" t="n">
        <v>46333</v>
      </c>
      <c r="G27" s="9" t="inlineStr">
        <is>
          <t>FAILING</t>
        </is>
      </c>
      <c r="H27" s="9" t="n"/>
      <c r="I27" s="9" t="inlineStr">
        <is>
          <t>(unused)</t>
        </is>
      </c>
    </row>
    <row r="28">
      <c r="A28" s="9" t="inlineStr">
        <is>
          <t>EV-103</t>
        </is>
      </c>
      <c r="B28" s="9" t="inlineStr">
        <is>
          <t>Engagement repo: validation gate runs</t>
        </is>
      </c>
      <c r="C28" s="9" t="inlineStr">
        <is>
          <t>record</t>
        </is>
      </c>
      <c r="D28" s="9" t="inlineStr">
        <is>
          <t>engagement/evidence/collected/EV-103.json</t>
        </is>
      </c>
      <c r="E28" s="10" t="n">
        <v>46303</v>
      </c>
      <c r="F28" s="10" t="n">
        <v>46333</v>
      </c>
      <c r="G28" s="9" t="inlineStr">
        <is>
          <t>current</t>
        </is>
      </c>
      <c r="H28" s="9" t="n"/>
      <c r="I28" s="9" t="inlineStr">
        <is>
          <t>(unused)</t>
        </is>
      </c>
    </row>
  </sheetData>
  <autoFilter ref="A3:I28"/>
  <conditionalFormatting sqref="G4:G28">
    <cfRule type="cellIs" priority="1" operator="equal" dxfId="1">
      <formula>"verified"</formula>
    </cfRule>
    <cfRule type="cellIs" priority="2" operator="equal" dxfId="1">
      <formula>"pass"</formula>
    </cfRule>
    <cfRule type="cellIs" priority="3" operator="equal" dxfId="1">
      <formula>"Ready"</formula>
    </cfRule>
    <cfRule type="cellIs" priority="4" operator="equal" dxfId="1">
      <formula>"approved"</formula>
    </cfRule>
    <cfRule type="cellIs" priority="5" operator="equal" dxfId="1">
      <formula>"closed"</formula>
    </cfRule>
    <cfRule type="cellIs" priority="6" operator="equal" dxfId="1">
      <formula>"done"</formula>
    </cfRule>
    <cfRule type="cellIs" priority="7" operator="equal" dxfId="1">
      <formula>"current"</formula>
    </cfRule>
    <cfRule type="cellIs" priority="8" operator="equal" dxfId="2">
      <formula>"partial"</formula>
    </cfRule>
    <cfRule type="cellIs" priority="9" operator="equal" dxfId="2">
      <formula>"In progress"</formula>
    </cfRule>
    <cfRule type="cellIs" priority="10" operator="equal" dxfId="2">
      <formula>"in_review"</formula>
    </cfRule>
    <cfRule type="cellIs" priority="11" operator="equal" dxfId="2">
      <formula>"action_planned"</formula>
    </cfRule>
    <cfRule type="cellIs" priority="12" operator="equal" dxfId="2">
      <formula>"implemented"</formula>
    </cfRule>
    <cfRule type="cellIs" priority="13" operator="equal" dxfId="3">
      <formula>"claimed"</formula>
    </cfRule>
    <cfRule type="cellIs" priority="14" operator="equal" dxfId="3">
      <formula>"Unverified claim"</formula>
    </cfRule>
    <cfRule type="cellIs" priority="15" operator="equal" dxfId="3">
      <formula>"draft"</formula>
    </cfRule>
    <cfRule type="cellIs" priority="16" operator="equal" dxfId="2">
      <formula>"in_progress"</formula>
    </cfRule>
    <cfRule type="cellIs" priority="17" operator="equal" dxfId="4">
      <formula>"risk_accepted"</formula>
    </cfRule>
    <cfRule type="cellIs" priority="18" operator="equal" dxfId="0">
      <formula>"FAILING"</formula>
    </cfRule>
    <cfRule type="cellIs" priority="19" operator="equal" dxfId="0">
      <formula>"EXPIRED"</formula>
    </cfRule>
    <cfRule type="cellIs" priority="20" operator="equal" dxfId="0">
      <formula>"missing"</formula>
    </cfRule>
    <cfRule type="cellIs" priority="21" operator="equal" dxfId="5">
      <formula>"open"</formula>
    </cfRule>
    <cfRule type="cellIs" priority="22" operator="equal" dxfId="0">
      <formula>"overdue"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5" customWidth="1" min="3" max="3"/>
    <col width="11" customWidth="1" min="4" max="4"/>
    <col width="15" customWidth="1" min="5" max="5"/>
    <col width="22" customWidth="1" min="6" max="6"/>
    <col width="12" customWidth="1" min="7" max="7"/>
    <col width="50" customWidth="1" min="8" max="8"/>
    <col width="35" customWidth="1" min="9" max="9"/>
    <col width="35" customWidth="1" min="10" max="10"/>
  </cols>
  <sheetData>
    <row r="1">
      <c r="A1" s="2" t="inlineStr">
        <is>
          <t>(Example Client) · ISO 42001 · generated from the GRC record as of 2026-10-24. Read-only export: change the record through pull requests, not here.</t>
        </is>
      </c>
    </row>
    <row r="3">
      <c r="A3" s="8" t="inlineStr">
        <is>
          <t>ID</t>
        </is>
      </c>
      <c r="B3" s="8" t="inlineStr">
        <is>
          <t>Grade</t>
        </is>
      </c>
      <c r="C3" s="8" t="inlineStr">
        <is>
          <t>Source</t>
        </is>
      </c>
      <c r="D3" s="8" t="inlineStr">
        <is>
          <t>Requirement</t>
        </is>
      </c>
      <c r="E3" s="8" t="inlineStr">
        <is>
          <t>Status</t>
        </is>
      </c>
      <c r="F3" s="8" t="inlineStr">
        <is>
          <t>Owner</t>
        </is>
      </c>
      <c r="G3" s="8" t="inlineStr">
        <is>
          <t>Due</t>
        </is>
      </c>
      <c r="H3" s="8" t="inlineStr">
        <is>
          <t>Description</t>
        </is>
      </c>
      <c r="I3" s="8" t="inlineStr">
        <is>
          <t>Root cause</t>
        </is>
      </c>
      <c r="J3" s="8" t="inlineStr">
        <is>
          <t>Corrective action</t>
        </is>
      </c>
    </row>
    <row r="4"/>
  </sheetData>
  <conditionalFormatting sqref="E4">
    <cfRule type="cellIs" priority="1" operator="equal" dxfId="1">
      <formula>"verified"</formula>
    </cfRule>
    <cfRule type="cellIs" priority="2" operator="equal" dxfId="1">
      <formula>"pass"</formula>
    </cfRule>
    <cfRule type="cellIs" priority="3" operator="equal" dxfId="1">
      <formula>"Ready"</formula>
    </cfRule>
    <cfRule type="cellIs" priority="4" operator="equal" dxfId="1">
      <formula>"approved"</formula>
    </cfRule>
    <cfRule type="cellIs" priority="5" operator="equal" dxfId="1">
      <formula>"closed"</formula>
    </cfRule>
    <cfRule type="cellIs" priority="6" operator="equal" dxfId="1">
      <formula>"done"</formula>
    </cfRule>
    <cfRule type="cellIs" priority="7" operator="equal" dxfId="1">
      <formula>"current"</formula>
    </cfRule>
    <cfRule type="cellIs" priority="8" operator="equal" dxfId="2">
      <formula>"partial"</formula>
    </cfRule>
    <cfRule type="cellIs" priority="9" operator="equal" dxfId="2">
      <formula>"In progress"</formula>
    </cfRule>
    <cfRule type="cellIs" priority="10" operator="equal" dxfId="2">
      <formula>"in_review"</formula>
    </cfRule>
    <cfRule type="cellIs" priority="11" operator="equal" dxfId="2">
      <formula>"action_planned"</formula>
    </cfRule>
    <cfRule type="cellIs" priority="12" operator="equal" dxfId="2">
      <formula>"implemented"</formula>
    </cfRule>
    <cfRule type="cellIs" priority="13" operator="equal" dxfId="3">
      <formula>"claimed"</formula>
    </cfRule>
    <cfRule type="cellIs" priority="14" operator="equal" dxfId="3">
      <formula>"Unverified claim"</formula>
    </cfRule>
    <cfRule type="cellIs" priority="15" operator="equal" dxfId="3">
      <formula>"draft"</formula>
    </cfRule>
    <cfRule type="cellIs" priority="16" operator="equal" dxfId="2">
      <formula>"in_progress"</formula>
    </cfRule>
    <cfRule type="cellIs" priority="17" operator="equal" dxfId="4">
      <formula>"risk_accepted"</formula>
    </cfRule>
    <cfRule type="cellIs" priority="18" operator="equal" dxfId="0">
      <formula>"FAILING"</formula>
    </cfRule>
    <cfRule type="cellIs" priority="19" operator="equal" dxfId="0">
      <formula>"EXPIRED"</formula>
    </cfRule>
    <cfRule type="cellIs" priority="20" operator="equal" dxfId="0">
      <formula>"missing"</formula>
    </cfRule>
    <cfRule type="cellIs" priority="21" operator="equal" dxfId="5">
      <formula>"open"</formula>
    </cfRule>
    <cfRule type="cellIs" priority="22" operator="equal" dxfId="0">
      <formula>"overdue"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2" customWidth="1" min="4" max="4"/>
    <col width="12" customWidth="1" min="5" max="5"/>
    <col width="22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>
      <c r="A1" s="2" t="inlineStr">
        <is>
          <t>(Example Client) · ISO 42001 · generated from the GRC record as of 2026-10-24. Read-only export: change the record through pull requests, not here.</t>
        </is>
      </c>
    </row>
    <row r="3">
      <c r="A3" s="8" t="inlineStr">
        <is>
          <t>System</t>
        </is>
      </c>
      <c r="B3" s="8" t="inlineStr">
        <is>
          <t>Name</t>
        </is>
      </c>
      <c r="C3" s="8" t="inlineStr">
        <is>
          <t>Risk tier</t>
        </is>
      </c>
      <c r="D3" s="8" t="inlineStr">
        <is>
          <t>Assessment</t>
        </is>
      </c>
      <c r="E3" s="8" t="inlineStr">
        <is>
          <t>Status</t>
        </is>
      </c>
      <c r="F3" s="8" t="inlineStr">
        <is>
          <t>Decision</t>
        </is>
      </c>
      <c r="G3" s="8" t="inlineStr">
        <is>
          <t>Highest residual</t>
        </is>
      </c>
      <c r="H3" s="8" t="inlineStr">
        <is>
          <t>Band</t>
        </is>
      </c>
      <c r="I3" s="8" t="inlineStr">
        <is>
          <t>Next review</t>
        </is>
      </c>
      <c r="J3" s="8" t="inlineStr">
        <is>
          <t>Current and approved</t>
        </is>
      </c>
    </row>
    <row r="4"/>
  </sheetData>
  <conditionalFormatting sqref="D4">
    <cfRule type="cellIs" priority="1" operator="equal" dxfId="1">
      <formula>"verified"</formula>
    </cfRule>
    <cfRule type="cellIs" priority="2" operator="equal" dxfId="1">
      <formula>"pass"</formula>
    </cfRule>
    <cfRule type="cellIs" priority="3" operator="equal" dxfId="1">
      <formula>"Ready"</formula>
    </cfRule>
    <cfRule type="cellIs" priority="4" operator="equal" dxfId="1">
      <formula>"approved"</formula>
    </cfRule>
    <cfRule type="cellIs" priority="5" operator="equal" dxfId="1">
      <formula>"closed"</formula>
    </cfRule>
    <cfRule type="cellIs" priority="6" operator="equal" dxfId="1">
      <formula>"done"</formula>
    </cfRule>
    <cfRule type="cellIs" priority="7" operator="equal" dxfId="1">
      <formula>"current"</formula>
    </cfRule>
    <cfRule type="cellIs" priority="8" operator="equal" dxfId="2">
      <formula>"partial"</formula>
    </cfRule>
    <cfRule type="cellIs" priority="9" operator="equal" dxfId="2">
      <formula>"In progress"</formula>
    </cfRule>
    <cfRule type="cellIs" priority="10" operator="equal" dxfId="2">
      <formula>"in_review"</formula>
    </cfRule>
    <cfRule type="cellIs" priority="11" operator="equal" dxfId="2">
      <formula>"action_planned"</formula>
    </cfRule>
    <cfRule type="cellIs" priority="12" operator="equal" dxfId="2">
      <formula>"implemented"</formula>
    </cfRule>
    <cfRule type="cellIs" priority="13" operator="equal" dxfId="3">
      <formula>"claimed"</formula>
    </cfRule>
    <cfRule type="cellIs" priority="14" operator="equal" dxfId="3">
      <formula>"Unverified claim"</formula>
    </cfRule>
    <cfRule type="cellIs" priority="15" operator="equal" dxfId="3">
      <formula>"draft"</formula>
    </cfRule>
    <cfRule type="cellIs" priority="16" operator="equal" dxfId="2">
      <formula>"in_progress"</formula>
    </cfRule>
    <cfRule type="cellIs" priority="17" operator="equal" dxfId="4">
      <formula>"risk_accepted"</formula>
    </cfRule>
    <cfRule type="cellIs" priority="18" operator="equal" dxfId="0">
      <formula>"FAILING"</formula>
    </cfRule>
    <cfRule type="cellIs" priority="19" operator="equal" dxfId="0">
      <formula>"EXPIRED"</formula>
    </cfRule>
    <cfRule type="cellIs" priority="20" operator="equal" dxfId="0">
      <formula>"missing"</formula>
    </cfRule>
    <cfRule type="cellIs" priority="21" operator="equal" dxfId="5">
      <formula>"open"</formula>
    </cfRule>
    <cfRule type="cellIs" priority="22" operator="equal" dxfId="0">
      <formula>"overdue"</formula>
    </cfRule>
  </conditionalFormatting>
  <conditionalFormatting sqref="E4">
    <cfRule type="cellIs" priority="23" operator="equal" dxfId="1">
      <formula>"verified"</formula>
    </cfRule>
    <cfRule type="cellIs" priority="24" operator="equal" dxfId="1">
      <formula>"pass"</formula>
    </cfRule>
    <cfRule type="cellIs" priority="25" operator="equal" dxfId="1">
      <formula>"Ready"</formula>
    </cfRule>
    <cfRule type="cellIs" priority="26" operator="equal" dxfId="1">
      <formula>"approved"</formula>
    </cfRule>
    <cfRule type="cellIs" priority="27" operator="equal" dxfId="1">
      <formula>"closed"</formula>
    </cfRule>
    <cfRule type="cellIs" priority="28" operator="equal" dxfId="1">
      <formula>"done"</formula>
    </cfRule>
    <cfRule type="cellIs" priority="29" operator="equal" dxfId="1">
      <formula>"current"</formula>
    </cfRule>
    <cfRule type="cellIs" priority="30" operator="equal" dxfId="2">
      <formula>"partial"</formula>
    </cfRule>
    <cfRule type="cellIs" priority="31" operator="equal" dxfId="2">
      <formula>"In progress"</formula>
    </cfRule>
    <cfRule type="cellIs" priority="32" operator="equal" dxfId="2">
      <formula>"in_review"</formula>
    </cfRule>
    <cfRule type="cellIs" priority="33" operator="equal" dxfId="2">
      <formula>"action_planned"</formula>
    </cfRule>
    <cfRule type="cellIs" priority="34" operator="equal" dxfId="2">
      <formula>"implemented"</formula>
    </cfRule>
    <cfRule type="cellIs" priority="35" operator="equal" dxfId="3">
      <formula>"claimed"</formula>
    </cfRule>
    <cfRule type="cellIs" priority="36" operator="equal" dxfId="3">
      <formula>"Unverified claim"</formula>
    </cfRule>
    <cfRule type="cellIs" priority="37" operator="equal" dxfId="3">
      <formula>"draft"</formula>
    </cfRule>
    <cfRule type="cellIs" priority="38" operator="equal" dxfId="2">
      <formula>"in_progress"</formula>
    </cfRule>
    <cfRule type="cellIs" priority="39" operator="equal" dxfId="4">
      <formula>"risk_accepted"</formula>
    </cfRule>
    <cfRule type="cellIs" priority="40" operator="equal" dxfId="0">
      <formula>"FAILING"</formula>
    </cfRule>
    <cfRule type="cellIs" priority="41" operator="equal" dxfId="0">
      <formula>"EXPIRED"</formula>
    </cfRule>
    <cfRule type="cellIs" priority="42" operator="equal" dxfId="0">
      <formula>"missing"</formula>
    </cfRule>
    <cfRule type="cellIs" priority="43" operator="equal" dxfId="5">
      <formula>"open"</formula>
    </cfRule>
    <cfRule type="cellIs" priority="44" operator="equal" dxfId="0">
      <formula>"overdue"</formula>
    </cfRule>
  </conditionalFormatting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0" customWidth="1" min="2" max="2"/>
    <col width="11" customWidth="1" min="3" max="3"/>
    <col width="12" customWidth="1" min="4" max="4"/>
    <col width="9" customWidth="1" min="5" max="5"/>
    <col width="22" customWidth="1" min="6" max="6"/>
    <col width="22" customWidth="1" min="7" max="7"/>
    <col width="12" customWidth="1" min="8" max="8"/>
    <col width="12" customWidth="1" min="9" max="9"/>
    <col width="12" customWidth="1" min="10" max="10"/>
    <col width="30" customWidth="1" min="11" max="11"/>
  </cols>
  <sheetData>
    <row r="1">
      <c r="A1" s="2" t="inlineStr">
        <is>
          <t>(Example Client) · ISO 42001 · generated from the GRC record as of 2026-10-24. Read-only export: change the record through pull requests, not here.</t>
        </is>
      </c>
    </row>
    <row r="3">
      <c r="A3" s="8" t="inlineStr">
        <is>
          <t>ID</t>
        </is>
      </c>
      <c r="B3" s="8" t="inlineStr">
        <is>
          <t>Title</t>
        </is>
      </c>
      <c r="C3" s="8" t="inlineStr">
        <is>
          <t>Type</t>
        </is>
      </c>
      <c r="D3" s="8" t="inlineStr">
        <is>
          <t>Status</t>
        </is>
      </c>
      <c r="E3" s="8" t="inlineStr">
        <is>
          <t>Version</t>
        </is>
      </c>
      <c r="F3" s="8" t="inlineStr">
        <is>
          <t>Owner</t>
        </is>
      </c>
      <c r="G3" s="8" t="inlineStr">
        <is>
          <t>Approver</t>
        </is>
      </c>
      <c r="H3" s="8" t="inlineStr">
        <is>
          <t>Approved</t>
        </is>
      </c>
      <c r="I3" s="8" t="inlineStr">
        <is>
          <t>Next review</t>
        </is>
      </c>
      <c r="J3" s="8" t="inlineStr">
        <is>
          <t>Current and approved</t>
        </is>
      </c>
      <c r="K3" s="8" t="inlineStr">
        <is>
          <t>Requirements</t>
        </is>
      </c>
    </row>
    <row r="4">
      <c r="A4" s="9" t="inlineStr">
        <is>
          <t>DOC-SCOPE</t>
        </is>
      </c>
      <c r="B4" s="9" t="inlineStr">
        <is>
          <t>AIMS Scope and Context</t>
        </is>
      </c>
      <c r="C4" s="9" t="inlineStr">
        <is>
          <t>policy</t>
        </is>
      </c>
      <c r="D4" s="9" t="inlineStr">
        <is>
          <t>missing</t>
        </is>
      </c>
      <c r="E4" s="9" t="n"/>
      <c r="F4" s="9" t="n"/>
      <c r="G4" s="9" t="n"/>
      <c r="H4" s="9" t="n"/>
      <c r="I4" s="9" t="n"/>
      <c r="J4" s="9" t="inlineStr">
        <is>
          <t>No</t>
        </is>
      </c>
      <c r="K4" s="9" t="inlineStr">
        <is>
          <t>4.1, 4.2, 4.3, 4.4</t>
        </is>
      </c>
    </row>
    <row r="5">
      <c r="A5" s="9" t="inlineStr">
        <is>
          <t>DOC-AI-POLICY</t>
        </is>
      </c>
      <c r="B5" s="9" t="inlineStr">
        <is>
          <t>AI Policy</t>
        </is>
      </c>
      <c r="C5" s="9" t="inlineStr">
        <is>
          <t>policy</t>
        </is>
      </c>
      <c r="D5" s="9" t="inlineStr">
        <is>
          <t>missing</t>
        </is>
      </c>
      <c r="E5" s="9" t="n"/>
      <c r="F5" s="9" t="n"/>
      <c r="G5" s="9" t="n"/>
      <c r="H5" s="9" t="n"/>
      <c r="I5" s="9" t="n"/>
      <c r="J5" s="9" t="inlineStr">
        <is>
          <t>No</t>
        </is>
      </c>
      <c r="K5" s="9" t="inlineStr">
        <is>
          <t>5.1, 5.2, A.2.2, A.2.3, A.2.4</t>
        </is>
      </c>
    </row>
    <row r="6">
      <c r="A6" s="9" t="inlineStr">
        <is>
          <t>DOC-ROLES</t>
        </is>
      </c>
      <c r="B6" s="9" t="inlineStr">
        <is>
          <t>AI Roles, Responsibilities and Reporting of Concerns</t>
        </is>
      </c>
      <c r="C6" s="9" t="inlineStr">
        <is>
          <t>procedure</t>
        </is>
      </c>
      <c r="D6" s="9" t="inlineStr">
        <is>
          <t>missing</t>
        </is>
      </c>
      <c r="E6" s="9" t="n"/>
      <c r="F6" s="9" t="n"/>
      <c r="G6" s="9" t="n"/>
      <c r="H6" s="9" t="n"/>
      <c r="I6" s="9" t="n"/>
      <c r="J6" s="9" t="inlineStr">
        <is>
          <t>No</t>
        </is>
      </c>
      <c r="K6" s="9" t="inlineStr">
        <is>
          <t>5.3, A.3.2, A.3.3, A.10.2</t>
        </is>
      </c>
    </row>
    <row r="7">
      <c r="A7" s="9" t="inlineStr">
        <is>
          <t>DOC-RISK</t>
        </is>
      </c>
      <c r="B7" s="9" t="inlineStr">
        <is>
          <t>AI Risk Management Procedure</t>
        </is>
      </c>
      <c r="C7" s="9" t="inlineStr">
        <is>
          <t>procedure</t>
        </is>
      </c>
      <c r="D7" s="9" t="inlineStr">
        <is>
          <t>missing</t>
        </is>
      </c>
      <c r="E7" s="9" t="n"/>
      <c r="F7" s="9" t="n"/>
      <c r="G7" s="9" t="n"/>
      <c r="H7" s="9" t="n"/>
      <c r="I7" s="9" t="n"/>
      <c r="J7" s="9" t="inlineStr">
        <is>
          <t>No</t>
        </is>
      </c>
      <c r="K7" s="9" t="inlineStr">
        <is>
          <t>6.1.1, 6.1.2, 6.1.3, 8.2, 8.3</t>
        </is>
      </c>
    </row>
    <row r="8">
      <c r="A8" s="9" t="inlineStr">
        <is>
          <t>DOC-IMPACT</t>
        </is>
      </c>
      <c r="B8" s="9" t="inlineStr">
        <is>
          <t>AI System Impact Assessment Procedure</t>
        </is>
      </c>
      <c r="C8" s="9" t="inlineStr">
        <is>
          <t>procedure</t>
        </is>
      </c>
      <c r="D8" s="9" t="inlineStr">
        <is>
          <t>missing</t>
        </is>
      </c>
      <c r="E8" s="9" t="n"/>
      <c r="F8" s="9" t="n"/>
      <c r="G8" s="9" t="n"/>
      <c r="H8" s="9" t="n"/>
      <c r="I8" s="9" t="n"/>
      <c r="J8" s="9" t="inlineStr">
        <is>
          <t>No</t>
        </is>
      </c>
      <c r="K8" s="9" t="inlineStr">
        <is>
          <t>6.1.4, 8.4, A.5.2, A.5.3, A.5.4, A.5.5</t>
        </is>
      </c>
    </row>
    <row r="9">
      <c r="A9" s="9" t="inlineStr">
        <is>
          <t>DOC-OBJECTIVES</t>
        </is>
      </c>
      <c r="B9" s="9" t="inlineStr">
        <is>
          <t>AI Objectives and Planning of Changes</t>
        </is>
      </c>
      <c r="C9" s="9" t="inlineStr">
        <is>
          <t>procedure</t>
        </is>
      </c>
      <c r="D9" s="9" t="inlineStr">
        <is>
          <t>missing</t>
        </is>
      </c>
      <c r="E9" s="9" t="n"/>
      <c r="F9" s="9" t="n"/>
      <c r="G9" s="9" t="n"/>
      <c r="H9" s="9" t="n"/>
      <c r="I9" s="9" t="n"/>
      <c r="J9" s="9" t="inlineStr">
        <is>
          <t>No</t>
        </is>
      </c>
      <c r="K9" s="9" t="inlineStr">
        <is>
          <t>6.2, 6.3, A.6.1.2, A.9.3</t>
        </is>
      </c>
    </row>
    <row r="10">
      <c r="A10" s="9" t="inlineStr">
        <is>
          <t>DOC-PEOPLE</t>
        </is>
      </c>
      <c r="B10" s="9" t="inlineStr">
        <is>
          <t>Resources, Competence, Awareness and Communication</t>
        </is>
      </c>
      <c r="C10" s="9" t="inlineStr">
        <is>
          <t>procedure</t>
        </is>
      </c>
      <c r="D10" s="9" t="inlineStr">
        <is>
          <t>missing</t>
        </is>
      </c>
      <c r="E10" s="9" t="n"/>
      <c r="F10" s="9" t="n"/>
      <c r="G10" s="9" t="n"/>
      <c r="H10" s="9" t="n"/>
      <c r="I10" s="9" t="n"/>
      <c r="J10" s="9" t="inlineStr">
        <is>
          <t>No</t>
        </is>
      </c>
      <c r="K10" s="9" t="inlineStr">
        <is>
          <t>7.1, 7.2, 7.3, 7.4, A.4.6</t>
        </is>
      </c>
    </row>
    <row r="11">
      <c r="A11" s="9" t="inlineStr">
        <is>
          <t>DOC-DOCINFO</t>
        </is>
      </c>
      <c r="B11" s="9" t="inlineStr">
        <is>
          <t>Control of Documented Information</t>
        </is>
      </c>
      <c r="C11" s="9" t="inlineStr">
        <is>
          <t>procedure</t>
        </is>
      </c>
      <c r="D11" s="9" t="inlineStr">
        <is>
          <t>missing</t>
        </is>
      </c>
      <c r="E11" s="9" t="n"/>
      <c r="F11" s="9" t="n"/>
      <c r="G11" s="9" t="n"/>
      <c r="H11" s="9" t="n"/>
      <c r="I11" s="9" t="n"/>
      <c r="J11" s="9" t="inlineStr">
        <is>
          <t>No</t>
        </is>
      </c>
      <c r="K11" s="9" t="inlineStr">
        <is>
          <t>7.5</t>
        </is>
      </c>
    </row>
    <row r="12">
      <c r="A12" s="9" t="inlineStr">
        <is>
          <t>DOC-RESOURCES</t>
        </is>
      </c>
      <c r="B12" s="9" t="inlineStr">
        <is>
          <t>AI Resources Inventory Procedure</t>
        </is>
      </c>
      <c r="C12" s="9" t="inlineStr">
        <is>
          <t>procedure</t>
        </is>
      </c>
      <c r="D12" s="9" t="inlineStr">
        <is>
          <t>missing</t>
        </is>
      </c>
      <c r="E12" s="9" t="n"/>
      <c r="F12" s="9" t="n"/>
      <c r="G12" s="9" t="n"/>
      <c r="H12" s="9" t="n"/>
      <c r="I12" s="9" t="n"/>
      <c r="J12" s="9" t="inlineStr">
        <is>
          <t>No</t>
        </is>
      </c>
      <c r="K12" s="9" t="inlineStr">
        <is>
          <t>A.4.2, A.4.3, A.4.4, A.4.5</t>
        </is>
      </c>
    </row>
    <row r="13">
      <c r="A13" s="9" t="inlineStr">
        <is>
          <t>DOC-LIFECYCLE</t>
        </is>
      </c>
      <c r="B13" s="9" t="inlineStr">
        <is>
          <t>AI System Lifecycle Procedure</t>
        </is>
      </c>
      <c r="C13" s="9" t="inlineStr">
        <is>
          <t>procedure</t>
        </is>
      </c>
      <c r="D13" s="9" t="inlineStr">
        <is>
          <t>missing</t>
        </is>
      </c>
      <c r="E13" s="9" t="n"/>
      <c r="F13" s="9" t="n"/>
      <c r="G13" s="9" t="n"/>
      <c r="H13" s="9" t="n"/>
      <c r="I13" s="9" t="n"/>
      <c r="J13" s="9" t="inlineStr">
        <is>
          <t>No</t>
        </is>
      </c>
      <c r="K13" s="9" t="inlineStr">
        <is>
          <t>8.1, A.6.1.3, A.6.2.2, A.6.2.3, A.6.2.4, A.6.2.5, A.6.2.6, A.6.2.7, A.6.2.8</t>
        </is>
      </c>
    </row>
    <row r="14">
      <c r="A14" s="9" t="inlineStr">
        <is>
          <t>DOC-DATA</t>
        </is>
      </c>
      <c r="B14" s="9" t="inlineStr">
        <is>
          <t>Data for AI Systems Procedure</t>
        </is>
      </c>
      <c r="C14" s="9" t="inlineStr">
        <is>
          <t>procedure</t>
        </is>
      </c>
      <c r="D14" s="9" t="inlineStr">
        <is>
          <t>missing</t>
        </is>
      </c>
      <c r="E14" s="9" t="n"/>
      <c r="F14" s="9" t="n"/>
      <c r="G14" s="9" t="n"/>
      <c r="H14" s="9" t="n"/>
      <c r="I14" s="9" t="n"/>
      <c r="J14" s="9" t="inlineStr">
        <is>
          <t>No</t>
        </is>
      </c>
      <c r="K14" s="9" t="inlineStr">
        <is>
          <t>A.7.2, A.7.3, A.7.4, A.7.5, A.7.6</t>
        </is>
      </c>
    </row>
    <row r="15">
      <c r="A15" s="9" t="inlineStr">
        <is>
          <t>DOC-COMMS</t>
        </is>
      </c>
      <c r="B15" s="9" t="inlineStr">
        <is>
          <t>Information for Users and Interested Parties</t>
        </is>
      </c>
      <c r="C15" s="9" t="inlineStr">
        <is>
          <t>procedure</t>
        </is>
      </c>
      <c r="D15" s="9" t="inlineStr">
        <is>
          <t>missing</t>
        </is>
      </c>
      <c r="E15" s="9" t="n"/>
      <c r="F15" s="9" t="n"/>
      <c r="G15" s="9" t="n"/>
      <c r="H15" s="9" t="n"/>
      <c r="I15" s="9" t="n"/>
      <c r="J15" s="9" t="inlineStr">
        <is>
          <t>No</t>
        </is>
      </c>
      <c r="K15" s="9" t="inlineStr">
        <is>
          <t>A.8.2, A.8.3, A.8.4, A.8.5</t>
        </is>
      </c>
    </row>
    <row r="16">
      <c r="A16" s="9" t="inlineStr">
        <is>
          <t>DOC-USE</t>
        </is>
      </c>
      <c r="B16" s="9" t="inlineStr">
        <is>
          <t>Responsible Use of AI Systems</t>
        </is>
      </c>
      <c r="C16" s="9" t="inlineStr">
        <is>
          <t>policy</t>
        </is>
      </c>
      <c r="D16" s="9" t="inlineStr">
        <is>
          <t>missing</t>
        </is>
      </c>
      <c r="E16" s="9" t="n"/>
      <c r="F16" s="9" t="n"/>
      <c r="G16" s="9" t="n"/>
      <c r="H16" s="9" t="n"/>
      <c r="I16" s="9" t="n"/>
      <c r="J16" s="9" t="inlineStr">
        <is>
          <t>No</t>
        </is>
      </c>
      <c r="K16" s="9" t="inlineStr">
        <is>
          <t>A.9.2, A.9.4</t>
        </is>
      </c>
    </row>
    <row r="17">
      <c r="A17" s="9" t="inlineStr">
        <is>
          <t>DOC-THIRDPARTY</t>
        </is>
      </c>
      <c r="B17" s="9" t="inlineStr">
        <is>
          <t>AI Suppliers, Customers and Third Parties</t>
        </is>
      </c>
      <c r="C17" s="9" t="inlineStr">
        <is>
          <t>procedure</t>
        </is>
      </c>
      <c r="D17" s="9" t="inlineStr">
        <is>
          <t>missing</t>
        </is>
      </c>
      <c r="E17" s="9" t="n"/>
      <c r="F17" s="9" t="n"/>
      <c r="G17" s="9" t="n"/>
      <c r="H17" s="9" t="n"/>
      <c r="I17" s="9" t="n"/>
      <c r="J17" s="9" t="inlineStr">
        <is>
          <t>No</t>
        </is>
      </c>
      <c r="K17" s="9" t="inlineStr">
        <is>
          <t>A.10.3, A.10.4</t>
        </is>
      </c>
    </row>
    <row r="18">
      <c r="A18" s="9" t="inlineStr">
        <is>
          <t>DOC-AUDIT</t>
        </is>
      </c>
      <c r="B18" s="9" t="inlineStr">
        <is>
          <t>Monitoring, Measurement and Internal Audit Procedure</t>
        </is>
      </c>
      <c r="C18" s="9" t="inlineStr">
        <is>
          <t>procedure</t>
        </is>
      </c>
      <c r="D18" s="9" t="inlineStr">
        <is>
          <t>missing</t>
        </is>
      </c>
      <c r="E18" s="9" t="n"/>
      <c r="F18" s="9" t="n"/>
      <c r="G18" s="9" t="n"/>
      <c r="H18" s="9" t="n"/>
      <c r="I18" s="9" t="n"/>
      <c r="J18" s="9" t="inlineStr">
        <is>
          <t>No</t>
        </is>
      </c>
      <c r="K18" s="9" t="inlineStr">
        <is>
          <t>9.1, 9.2</t>
        </is>
      </c>
    </row>
    <row r="19">
      <c r="A19" s="9" t="inlineStr">
        <is>
          <t>DOC-REVIEW</t>
        </is>
      </c>
      <c r="B19" s="9" t="inlineStr">
        <is>
          <t>Management Review Procedure</t>
        </is>
      </c>
      <c r="C19" s="9" t="inlineStr">
        <is>
          <t>procedure</t>
        </is>
      </c>
      <c r="D19" s="9" t="inlineStr">
        <is>
          <t>missing</t>
        </is>
      </c>
      <c r="E19" s="9" t="n"/>
      <c r="F19" s="9" t="n"/>
      <c r="G19" s="9" t="n"/>
      <c r="H19" s="9" t="n"/>
      <c r="I19" s="9" t="n"/>
      <c r="J19" s="9" t="inlineStr">
        <is>
          <t>No</t>
        </is>
      </c>
      <c r="K19" s="9" t="inlineStr">
        <is>
          <t>9.3</t>
        </is>
      </c>
    </row>
    <row r="20">
      <c r="A20" s="9" t="inlineStr">
        <is>
          <t>DOC-IMPROVE</t>
        </is>
      </c>
      <c r="B20" s="9" t="inlineStr">
        <is>
          <t>Nonconformity, Corrective Action and Improvement</t>
        </is>
      </c>
      <c r="C20" s="9" t="inlineStr">
        <is>
          <t>procedure</t>
        </is>
      </c>
      <c r="D20" s="9" t="inlineStr">
        <is>
          <t>missing</t>
        </is>
      </c>
      <c r="E20" s="9" t="n"/>
      <c r="F20" s="9" t="n"/>
      <c r="G20" s="9" t="n"/>
      <c r="H20" s="9" t="n"/>
      <c r="I20" s="9" t="n"/>
      <c r="J20" s="9" t="inlineStr">
        <is>
          <t>No</t>
        </is>
      </c>
      <c r="K20" s="9" t="inlineStr">
        <is>
          <t>10.1, 10.2</t>
        </is>
      </c>
    </row>
  </sheetData>
  <autoFilter ref="A3:K20"/>
  <conditionalFormatting sqref="D4:D20">
    <cfRule type="cellIs" priority="1" operator="equal" dxfId="1">
      <formula>"verified"</formula>
    </cfRule>
    <cfRule type="cellIs" priority="2" operator="equal" dxfId="1">
      <formula>"pass"</formula>
    </cfRule>
    <cfRule type="cellIs" priority="3" operator="equal" dxfId="1">
      <formula>"Ready"</formula>
    </cfRule>
    <cfRule type="cellIs" priority="4" operator="equal" dxfId="1">
      <formula>"approved"</formula>
    </cfRule>
    <cfRule type="cellIs" priority="5" operator="equal" dxfId="1">
      <formula>"closed"</formula>
    </cfRule>
    <cfRule type="cellIs" priority="6" operator="equal" dxfId="1">
      <formula>"done"</formula>
    </cfRule>
    <cfRule type="cellIs" priority="7" operator="equal" dxfId="1">
      <formula>"current"</formula>
    </cfRule>
    <cfRule type="cellIs" priority="8" operator="equal" dxfId="2">
      <formula>"partial"</formula>
    </cfRule>
    <cfRule type="cellIs" priority="9" operator="equal" dxfId="2">
      <formula>"In progress"</formula>
    </cfRule>
    <cfRule type="cellIs" priority="10" operator="equal" dxfId="2">
      <formula>"in_review"</formula>
    </cfRule>
    <cfRule type="cellIs" priority="11" operator="equal" dxfId="2">
      <formula>"action_planned"</formula>
    </cfRule>
    <cfRule type="cellIs" priority="12" operator="equal" dxfId="2">
      <formula>"implemented"</formula>
    </cfRule>
    <cfRule type="cellIs" priority="13" operator="equal" dxfId="3">
      <formula>"claimed"</formula>
    </cfRule>
    <cfRule type="cellIs" priority="14" operator="equal" dxfId="3">
      <formula>"Unverified claim"</formula>
    </cfRule>
    <cfRule type="cellIs" priority="15" operator="equal" dxfId="3">
      <formula>"draft"</formula>
    </cfRule>
    <cfRule type="cellIs" priority="16" operator="equal" dxfId="2">
      <formula>"in_progress"</formula>
    </cfRule>
    <cfRule type="cellIs" priority="17" operator="equal" dxfId="4">
      <formula>"risk_accepted"</formula>
    </cfRule>
    <cfRule type="cellIs" priority="18" operator="equal" dxfId="0">
      <formula>"FAILING"</formula>
    </cfRule>
    <cfRule type="cellIs" priority="19" operator="equal" dxfId="0">
      <formula>"EXPIRED"</formula>
    </cfRule>
    <cfRule type="cellIs" priority="20" operator="equal" dxfId="0">
      <formula>"missing"</formula>
    </cfRule>
    <cfRule type="cellIs" priority="21" operator="equal" dxfId="5">
      <formula>"open"</formula>
    </cfRule>
    <cfRule type="cellIs" priority="22" operator="equal" dxfId="0">
      <formula>"overdue"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55" customWidth="1" min="3" max="3"/>
    <col width="22" customWidth="1" min="4" max="4"/>
    <col width="12" customWidth="1" min="5" max="5"/>
    <col width="11" customWidth="1" min="6" max="6"/>
    <col width="12" customWidth="1" min="7" max="7"/>
    <col width="24" customWidth="1" min="8" max="8"/>
  </cols>
  <sheetData>
    <row r="1">
      <c r="A1" s="2" t="inlineStr">
        <is>
          <t>(Example Client) · ISO 42001 · generated from the GRC record as of 2026-10-24. Read-only export: change the record through pull requests, not here.</t>
        </is>
      </c>
    </row>
    <row r="3">
      <c r="A3" s="8" t="inlineStr">
        <is>
          <t>Review</t>
        </is>
      </c>
      <c r="B3" s="8" t="inlineStr">
        <is>
          <t>Action ID</t>
        </is>
      </c>
      <c r="C3" s="8" t="inlineStr">
        <is>
          <t>Action</t>
        </is>
      </c>
      <c r="D3" s="8" t="inlineStr">
        <is>
          <t>Owner</t>
        </is>
      </c>
      <c r="E3" s="8" t="inlineStr">
        <is>
          <t>Due</t>
        </is>
      </c>
      <c r="F3" s="8" t="inlineStr">
        <is>
          <t>Status</t>
        </is>
      </c>
      <c r="G3" s="8" t="inlineStr">
        <is>
          <t>Closed</t>
        </is>
      </c>
      <c r="H3" s="8" t="inlineStr">
        <is>
          <t>Evidence</t>
        </is>
      </c>
    </row>
    <row r="4"/>
  </sheetData>
  <conditionalFormatting sqref="F4">
    <cfRule type="cellIs" priority="1" operator="equal" dxfId="1">
      <formula>"verified"</formula>
    </cfRule>
    <cfRule type="cellIs" priority="2" operator="equal" dxfId="1">
      <formula>"pass"</formula>
    </cfRule>
    <cfRule type="cellIs" priority="3" operator="equal" dxfId="1">
      <formula>"Ready"</formula>
    </cfRule>
    <cfRule type="cellIs" priority="4" operator="equal" dxfId="1">
      <formula>"approved"</formula>
    </cfRule>
    <cfRule type="cellIs" priority="5" operator="equal" dxfId="1">
      <formula>"closed"</formula>
    </cfRule>
    <cfRule type="cellIs" priority="6" operator="equal" dxfId="1">
      <formula>"done"</formula>
    </cfRule>
    <cfRule type="cellIs" priority="7" operator="equal" dxfId="1">
      <formula>"current"</formula>
    </cfRule>
    <cfRule type="cellIs" priority="8" operator="equal" dxfId="2">
      <formula>"partial"</formula>
    </cfRule>
    <cfRule type="cellIs" priority="9" operator="equal" dxfId="2">
      <formula>"In progress"</formula>
    </cfRule>
    <cfRule type="cellIs" priority="10" operator="equal" dxfId="2">
      <formula>"in_review"</formula>
    </cfRule>
    <cfRule type="cellIs" priority="11" operator="equal" dxfId="2">
      <formula>"action_planned"</formula>
    </cfRule>
    <cfRule type="cellIs" priority="12" operator="equal" dxfId="2">
      <formula>"implemented"</formula>
    </cfRule>
    <cfRule type="cellIs" priority="13" operator="equal" dxfId="3">
      <formula>"claimed"</formula>
    </cfRule>
    <cfRule type="cellIs" priority="14" operator="equal" dxfId="3">
      <formula>"Unverified claim"</formula>
    </cfRule>
    <cfRule type="cellIs" priority="15" operator="equal" dxfId="3">
      <formula>"draft"</formula>
    </cfRule>
    <cfRule type="cellIs" priority="16" operator="equal" dxfId="2">
      <formula>"in_progress"</formula>
    </cfRule>
    <cfRule type="cellIs" priority="17" operator="equal" dxfId="4">
      <formula>"risk_accepted"</formula>
    </cfRule>
    <cfRule type="cellIs" priority="18" operator="equal" dxfId="0">
      <formula>"FAILING"</formula>
    </cfRule>
    <cfRule type="cellIs" priority="19" operator="equal" dxfId="0">
      <formula>"EXPIRED"</formula>
    </cfRule>
    <cfRule type="cellIs" priority="20" operator="equal" dxfId="0">
      <formula>"missing"</formula>
    </cfRule>
    <cfRule type="cellIs" priority="21" operator="equal" dxfId="5">
      <formula>"open"</formula>
    </cfRule>
    <cfRule type="cellIs" priority="22" operator="equal" dxfId="0">
      <formula>"overdue"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grc-readiness</dc:creator>
  <dc:title xmlns:dc="http://purl.org/dc/elements/1.1/">(Example Client) readiness workbook</dc:title>
  <dcterms:created xmlns:dcterms="http://purl.org/dc/terms/" xmlns:xsi="http://www.w3.org/2001/XMLSchema-instance" xsi:type="dcterms:W3CDTF">2026-10-24T12:00:00Z</dcterms:created>
  <dcterms:modified xmlns:dcterms="http://purl.org/dc/terms/" xmlns:xsi="http://www.w3.org/2001/XMLSchema-instance" xsi:type="dcterms:W3CDTF">2026-10-24T12:00:00Z</dcterms:modified>
  <cp:lastModifiedBy>grc-readiness</cp:lastModifiedBy>
</cp:coreProperties>
</file>